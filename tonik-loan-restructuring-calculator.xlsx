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1. Original Loan Setup" sheetId="2" state="visible" r:id="rId4"/>
    <sheet name="2. Original Amort Schedule" sheetId="3" state="visible" r:id="rId5"/>
    <sheet name="3. Restructuring Workup" sheetId="4" state="visible" r:id="rId6"/>
    <sheet name="4. Restructured Amort Sched" sheetId="5" state="visible" r:id="rId7"/>
    <sheet name="5. 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<sst xmlns="http://schemas.openxmlformats.org/spreadsheetml/2006/main" count="122" uniqueCount="108">
  <si>
    <t xml:space="preserve">Loan Restructuring Calculator — How to Use</t>
  </si>
  <si>
    <t xml:space="preserve">Purpose</t>
  </si>
  <si>
    <t xml:space="preserve">Encodes an existing loan's details, lets you enter the borrower's last payment date and days-past-due (DPD), and automatically computes the restructured loan — with the basis for every figure shown.</t>
  </si>
  <si>
    <t xml:space="preserve">Color legend</t>
  </si>
  <si>
    <t xml:space="preserve">  Blue bold text on yellow fill</t>
  </si>
  <si>
    <t xml:space="preserve">Means: input cell. This is the ONLY thing you should type into.</t>
  </si>
  <si>
    <t xml:space="preserve">  Black text</t>
  </si>
  <si>
    <t xml:space="preserve">Means: formula. Do not overwrite — it recalculates automatically.</t>
  </si>
  <si>
    <t xml:space="preserve">  Green text</t>
  </si>
  <si>
    <t xml:space="preserve">Means: a value linked in from another sheet.</t>
  </si>
  <si>
    <t xml:space="preserve">Sheet order</t>
  </si>
  <si>
    <t xml:space="preserve">  1. Original Loan Setup</t>
  </si>
  <si>
    <t xml:space="preserve">Encode the existing loan's terms (principal, rate, term, fees) exactly as shown on its Promissory Note.</t>
  </si>
  <si>
    <t xml:space="preserve">  2. Original Amortization Schedule</t>
  </si>
  <si>
    <t xml:space="preserve">Auto-generated from Sheet 1 — mirrors the bank's amortization schedule format.</t>
  </si>
  <si>
    <t xml:space="preserve">  3. Restructuring Workup</t>
  </si>
  <si>
    <t xml:space="preserve">Enter the Last Payment Date and DPD here. Everything else on this sheet — outstanding principal, accrued interest, penalty, and the new restructured principal — is calculated, with its basis stated next to each figure. Policy: DPD &gt; 90 days -&gt; restructured principal = Outstanding Principal only. DPD &lt;= 90 days -&gt; restructured principal = Outstanding Principal + Accrued Interest. (Penalty capitalization is a separate manual Yes/No toggle.)</t>
  </si>
  <si>
    <t xml:space="preserve">  4. Restructured Amortization Schedule</t>
  </si>
  <si>
    <t xml:space="preserve">Auto-generated new schedule for the restructured loan, same mechanics as Sheet 2.</t>
  </si>
  <si>
    <t xml:space="preserve">  5. Summary</t>
  </si>
  <si>
    <t xml:space="preserve">Side-by-side comparison of the original vs. restructured loan for quick reference.</t>
  </si>
  <si>
    <t xml:space="preserve">Sample scenario</t>
  </si>
  <si>
    <t xml:space="preserve">This workbook ships pre-filled with an illustrative unsecured cash loan scenario (₱20,000 principal, 95% APR, 12 installments, restructured into a 47.5% APR, 16-installment loan) so you can see how the mechanics work end-to-end. No client or borrower information is stored in this file. Overwrite the yellow cells on Sheets 1 and 3 with a real loan's terms to use the calculator.</t>
  </si>
  <si>
    <t xml:space="preserve">Original Loan — Encoded Details</t>
  </si>
  <si>
    <t xml:space="preserve">Source: Tonik Digital Bank Promissory Note. Yellow cells are inputs — replace with a new borrower's terms to reuse this workbook.</t>
  </si>
  <si>
    <t xml:space="preserve">LOAN IDENTIFICATION</t>
  </si>
  <si>
    <t xml:space="preserve">Loan Reference / ID (optional, internal use)</t>
  </si>
  <si>
    <t xml:space="preserve">e.g. LN-000001</t>
  </si>
  <si>
    <t xml:space="preserve">ORIGINAL LOAN TERMS (per Promissory Note)</t>
  </si>
  <si>
    <t xml:space="preserve">Principal Amount (PHP)</t>
  </si>
  <si>
    <t xml:space="preserve">Date Granted</t>
  </si>
  <si>
    <t xml:space="preserve">Annual Interest Rate (APR)</t>
  </si>
  <si>
    <t xml:space="preserve">Monthly Interest Rate</t>
  </si>
  <si>
    <t xml:space="preserve">Number of Installments</t>
  </si>
  <si>
    <t xml:space="preserve">First Monthly Due Date</t>
  </si>
  <si>
    <t xml:space="preserve">Processing Fee (PHP)</t>
  </si>
  <si>
    <t xml:space="preserve">Documentary Stamps Tax (PHP)</t>
  </si>
  <si>
    <t xml:space="preserve">Net Proceeds of Loan (PHP)</t>
  </si>
  <si>
    <t xml:space="preserve">Value-Added Services (VAS) Fee %</t>
  </si>
  <si>
    <t xml:space="preserve">VAS fee = this % applied to each installment's (principal + interest).</t>
  </si>
  <si>
    <t xml:space="preserve">Late Payment Fee per missed installment (PHP)</t>
  </si>
  <si>
    <t xml:space="preserve">COMPUTED SUMMARY (for reference)</t>
  </si>
  <si>
    <t xml:space="preserve">Fixed Monthly Installment (Principal+Interest)</t>
  </si>
  <si>
    <t xml:space="preserve">Maturity Date</t>
  </si>
  <si>
    <t xml:space="preserve">Original Loan — Amortization Schedule</t>
  </si>
  <si>
    <t xml:space="preserve">Auto-generated from Sheet 1. Installment = fixed annuity payment at the Monthly Rate (Principal+Interest constant every period, via the PMT function). Interest = Beginning Balance x (Annual Rate/365) x actual days in the billing cycle (28/30/31, per the calendar month ending on each installment date) — this reproduces the source Promissory Note's schedule to the peso for installments 1-11. Principal = Installment - Interest, except the FINAL installment, which pays off the remaining balance exactly; banks typically true up the final installment's interest so total interest matches the amount disclosed at origination, so this model's last-row interest can differ slightly from the bank's own statement (immaterial to the outstanding-principal figures the restructuring calculation relies on). VAS Fee = 9.11% of (Principal+Interest).</t>
  </si>
  <si>
    <t xml:space="preserve">No.</t>
  </si>
  <si>
    <t xml:space="preserve">Installment Date</t>
  </si>
  <si>
    <t xml:space="preserve">Beginning
Balance</t>
  </si>
  <si>
    <t xml:space="preserve">Principal</t>
  </si>
  <si>
    <t xml:space="preserve">Interest</t>
  </si>
  <si>
    <t xml:space="preserve">VAS Fee</t>
  </si>
  <si>
    <t xml:space="preserve">Total
Payment</t>
  </si>
  <si>
    <t xml:space="preserve">Ending
Balance</t>
  </si>
  <si>
    <t xml:space="preserve">TOTAL</t>
  </si>
  <si>
    <t xml:space="preserve">Restructuring Workup</t>
  </si>
  <si>
    <t xml:space="preserve">Type only into the yellow cells (Last Payment Date and DPD). Every other figure below is computed, with its basis stated in column E.</t>
  </si>
  <si>
    <t xml:space="preserve">STEP 1 — COLLECTIONS INPUT (from loan monitoring system)</t>
  </si>
  <si>
    <t xml:space="preserve">Last Payment Date (last installment date actually paid)</t>
  </si>
  <si>
    <t xml:space="preserve">Must match an Installment Date on Sheet 2. Leave blank / use the Date Granted if no installment has been paid yet.</t>
  </si>
  <si>
    <t xml:space="preserve">As-of / Report Date</t>
  </si>
  <si>
    <t xml:space="preserve">Days Past Due (DPD) — as reported by collections</t>
  </si>
  <si>
    <t xml:space="preserve">STEP 2 — OUTSTANDING EXPOSURE AT DEFAULT (computed)</t>
  </si>
  <si>
    <t xml:space="preserve">Outstanding Principal (PHP)</t>
  </si>
  <si>
    <t xml:space="preserve">Basis: Ending Balance on Sheet 2 for the row whose Installment Date = Last Payment Date above (i.e., the balance left after the last installment the borrower actually paid).</t>
  </si>
  <si>
    <t xml:space="preserve">Accrued Interest during delinquency (PHP)</t>
  </si>
  <si>
    <t xml:space="preserve">Basis: Outstanding Principal x Original Contractual Annual Rate / 365 x DPD (simple daily interest per the original Promissory Note's stated rate). Adjust the rate assumption in Sheet 1 if the bank applies a different penalty-interest rate during delinquency.</t>
  </si>
  <si>
    <t xml:space="preserve">Penalty / Late Payment Fees (PHP)</t>
  </si>
  <si>
    <t xml:space="preserve">Basis: Late Payment Fee stated on the original Promissory Note x number of missed 30-day installment cycles (ROUNDUP(DPD/30)).</t>
  </si>
  <si>
    <t xml:space="preserve">Total Outstanding Exposure (PHP)</t>
  </si>
  <si>
    <t xml:space="preserve">Basis: Outstanding Principal + Accrued Interest + Penalty. This is the borrower's full exposure as of the As-of Date, before any restructuring relief.</t>
  </si>
  <si>
    <t xml:space="preserve">STEP 3 — RESTRUCTURING DECISION (per DPD policy; Penalty toggle is manual)</t>
  </si>
  <si>
    <t xml:space="preserve">Capitalize Accrued Interest into new Principal? (auto, per DPD policy)</t>
  </si>
  <si>
    <t xml:space="preserve">Policy rule (not manually editable): if DPD &gt; 90 days, the restructured loan is the Outstanding Principal ONLY (accrued interest is waived). If DPD is 90 days or less, the restructured loan is Outstanding Principal PLUS Accrued Interest (interest is capitalized). Driven automatically by the DPD entered in Step 1.</t>
  </si>
  <si>
    <t xml:space="preserve">Capitalize Penalty into new Principal? (manual)</t>
  </si>
  <si>
    <t xml:space="preserve">No</t>
  </si>
  <si>
    <t xml:space="preserve">Yes/No — manual choice, not covered by the DPD policy above. In the sample restructured PN supplied, penalty was WAIVED (No).</t>
  </si>
  <si>
    <t xml:space="preserve">RESTRUCTURED LOAN — NEW TERMS</t>
  </si>
  <si>
    <t xml:space="preserve">New Restructured Principal (PHP)</t>
  </si>
  <si>
    <t xml:space="preserve">Basis: Outstanding Principal, plus Accrued Interest if DPD &lt;= 90 (per policy above), plus Penalty only if manually capitalized.</t>
  </si>
  <si>
    <t xml:space="preserve">New Annual Interest Rate (APR)</t>
  </si>
  <si>
    <t xml:space="preserve">New Monthly Interest Rate</t>
  </si>
  <si>
    <t xml:space="preserve">New Number of Installments</t>
  </si>
  <si>
    <t xml:space="preserve">New First Monthly Due Date</t>
  </si>
  <si>
    <t xml:space="preserve">New Date Granted (restructuring date)</t>
  </si>
  <si>
    <t xml:space="preserve">New Fixed Monthly Installment (Principal+Interest)</t>
  </si>
  <si>
    <t xml:space="preserve">New Maturity Date</t>
  </si>
  <si>
    <t xml:space="preserve">Total of New Payments over the term (PHP)</t>
  </si>
  <si>
    <t xml:space="preserve">Total Waived (Interest + Penalty not capitalized) (PHP)</t>
  </si>
  <si>
    <t xml:space="preserve">Restructured Loan — Amortization Schedule</t>
  </si>
  <si>
    <t xml:space="preserve">Auto-generated from Sheet 3 (New Restructured Principal, Rate, Term, First Due Date, Date Granted). Same actual/365 daily-interest mechanics as Sheet 2; no VAS fee on the restructured loan (per the sample restructured Promissory Note supplied).</t>
  </si>
  <si>
    <t xml:space="preserve">Original vs. Restructured Loan — Summary</t>
  </si>
  <si>
    <t xml:space="preserve">All cells below are linked from Sheets 1–4. Nothing to type here.</t>
  </si>
  <si>
    <t xml:space="preserve">Original Loan</t>
  </si>
  <si>
    <t xml:space="preserve">Restructured Loan</t>
  </si>
  <si>
    <t xml:space="preserve">Loan Reference / ID</t>
  </si>
  <si>
    <t xml:space="preserve">New reference assigned upon restructuring</t>
  </si>
  <si>
    <t xml:space="preserve">Principal (PHP)</t>
  </si>
  <si>
    <t xml:space="preserve">Annual Interest Rate</t>
  </si>
  <si>
    <t xml:space="preserve">First Due Date</t>
  </si>
  <si>
    <t xml:space="preserve">Fixed Monthly Installment (PHP)</t>
  </si>
  <si>
    <t xml:space="preserve">DEFAULT / RESTRUCTURING BASIS</t>
  </si>
  <si>
    <t xml:space="preserve">Last Payment Date</t>
  </si>
  <si>
    <t xml:space="preserve">Days Past Due (DPD)</t>
  </si>
  <si>
    <t xml:space="preserve">Outstanding Principal at Default (PHP)</t>
  </si>
  <si>
    <t xml:space="preserve">Accrued Interest during Delinquency (PHP)</t>
  </si>
  <si>
    <t xml:space="preserve">Penalty / Late Fees (PHP)</t>
  </si>
  <si>
    <t xml:space="preserve">Total Waived (not capitalized) (PHP)</t>
  </si>
</sst>
</file>

<file path=xl/styles.xml><?xml version="1.0" encoding="utf-8"?>
<styleSheet xmlns="http://schemas.openxmlformats.org/spreadsheetml/2006/main">
  <numFmts count="6">
    <numFmt numFmtId="164" formatCode="General"/>
    <numFmt numFmtId="165" formatCode="#,##0.00;\(#,##0.00\);\-"/>
    <numFmt numFmtId="166" formatCode="mmmm\ d&quot;, &quot;yyyy"/>
    <numFmt numFmtId="167" formatCode="0.00%"/>
    <numFmt numFmtId="168" formatCode="General"/>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4"/>
      <color rgb="FF682763"/>
      <name val="Arial"/>
      <family val="0"/>
      <charset val="1"/>
    </font>
    <font>
      <b val="true"/>
      <sz val="10"/>
      <name val="Arial"/>
      <family val="0"/>
      <charset val="1"/>
    </font>
    <font>
      <sz val="10"/>
      <name val="Arial"/>
      <family val="0"/>
      <charset val="1"/>
    </font>
    <font>
      <b val="true"/>
      <sz val="11"/>
      <name val="Arial"/>
      <family val="0"/>
      <charset val="1"/>
    </font>
    <font>
      <i val="true"/>
      <sz val="9"/>
      <color rgb="FF666666"/>
      <name val="Arial"/>
      <family val="0"/>
      <charset val="1"/>
    </font>
    <font>
      <b val="true"/>
      <sz val="10"/>
      <color rgb="FF0000FF"/>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s>
  <fills count="7">
    <fill>
      <patternFill patternType="none"/>
    </fill>
    <fill>
      <patternFill patternType="gray125"/>
    </fill>
    <fill>
      <patternFill patternType="solid">
        <fgColor rgb="FFEDE8FF"/>
        <bgColor rgb="FFE8E8E8"/>
      </patternFill>
    </fill>
    <fill>
      <patternFill patternType="solid">
        <fgColor rgb="FFFFFF00"/>
        <bgColor rgb="FFFFFF00"/>
      </patternFill>
    </fill>
    <fill>
      <patternFill patternType="solid">
        <fgColor rgb="FF785AFF"/>
        <bgColor rgb="FF808080"/>
      </patternFill>
    </fill>
    <fill>
      <patternFill patternType="solid">
        <fgColor rgb="FFE8E8E8"/>
        <bgColor rgb="FFEDE8FF"/>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left" vertical="bottom" textRotation="0" wrapText="false" indent="0" shrinkToFit="false"/>
      <protection locked="true" hidden="false"/>
    </xf>
    <xf numFmtId="165" fontId="9" fillId="3" borderId="1" xfId="0" applyFont="true" applyBorder="true" applyAlignment="true" applyProtection="false">
      <alignment horizontal="left" vertical="bottom" textRotation="0" wrapText="false" indent="0" shrinkToFit="false"/>
      <protection locked="true" hidden="false"/>
    </xf>
    <xf numFmtId="166" fontId="9" fillId="3" borderId="1" xfId="0" applyFont="true" applyBorder="true" applyAlignment="true" applyProtection="false">
      <alignment horizontal="left" vertical="bottom" textRotation="0" wrapText="false" indent="0" shrinkToFit="false"/>
      <protection locked="true" hidden="false"/>
    </xf>
    <xf numFmtId="167" fontId="9" fillId="3" borderId="1" xfId="0" applyFont="true" applyBorder="true" applyAlignment="true" applyProtection="false">
      <alignment horizontal="left" vertical="bottom" textRotation="0" wrapText="false" indent="0" shrinkToFit="false"/>
      <protection locked="true" hidden="false"/>
    </xf>
    <xf numFmtId="167" fontId="10" fillId="0" borderId="1" xfId="0" applyFont="true" applyBorder="true" applyAlignment="true" applyProtection="false">
      <alignment horizontal="left" vertical="bottom" textRotation="0" wrapText="false" indent="0" shrinkToFit="false"/>
      <protection locked="true" hidden="false"/>
    </xf>
    <xf numFmtId="165" fontId="10" fillId="0" borderId="1" xfId="0" applyFont="true" applyBorder="true" applyAlignment="true" applyProtection="false">
      <alignment horizontal="left" vertical="bottom" textRotation="0" wrapText="false" indent="0" shrinkToFit="false"/>
      <protection locked="true" hidden="false"/>
    </xf>
    <xf numFmtId="166" fontId="10" fillId="0" borderId="1" xfId="0" applyFont="true" applyBorder="true" applyAlignment="true" applyProtection="false">
      <alignment horizontal="left"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5" fontId="10" fillId="6" borderId="1" xfId="0" applyFont="true" applyBorder="true" applyAlignment="true" applyProtection="false">
      <alignment horizontal="left"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682763"/>
      <rgbColor rgb="FFE8E8E8"/>
      <rgbColor rgb="FFEDE8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785A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82763"/>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4" hidden="false" customHeight="true" outlineLevel="0" collapsed="false">
      <c r="A1" s="1" t="s">
        <v>0</v>
      </c>
      <c r="B1" s="1"/>
    </row>
    <row r="2" customFormat="false" ht="13.5" hidden="false" customHeight="true" outlineLevel="0" collapsed="false">
      <c r="A2" s="2"/>
      <c r="B2" s="3"/>
    </row>
    <row r="3" customFormat="false" ht="30" hidden="false" customHeight="true" outlineLevel="0" collapsed="false">
      <c r="A3" s="2" t="s">
        <v>1</v>
      </c>
      <c r="B3" s="3" t="s">
        <v>2</v>
      </c>
    </row>
    <row r="4" customFormat="false" ht="13.5" hidden="false" customHeight="true" outlineLevel="0" collapsed="false">
      <c r="A4" s="2"/>
      <c r="B4" s="3"/>
    </row>
    <row r="5" customFormat="false" ht="15" hidden="false" customHeight="false" outlineLevel="0" collapsed="false">
      <c r="A5" s="4" t="s">
        <v>3</v>
      </c>
      <c r="B5" s="4"/>
    </row>
    <row r="6" customFormat="false" ht="30" hidden="false" customHeight="true" outlineLevel="0" collapsed="false">
      <c r="A6" s="2" t="s">
        <v>4</v>
      </c>
      <c r="B6" s="3" t="s">
        <v>5</v>
      </c>
    </row>
    <row r="7" customFormat="false" ht="30" hidden="false" customHeight="true" outlineLevel="0" collapsed="false">
      <c r="A7" s="2" t="s">
        <v>6</v>
      </c>
      <c r="B7" s="3" t="s">
        <v>7</v>
      </c>
    </row>
    <row r="8" customFormat="false" ht="30" hidden="false" customHeight="true" outlineLevel="0" collapsed="false">
      <c r="A8" s="2" t="s">
        <v>8</v>
      </c>
      <c r="B8" s="3" t="s">
        <v>9</v>
      </c>
    </row>
    <row r="9" customFormat="false" ht="13.5" hidden="false" customHeight="true" outlineLevel="0" collapsed="false">
      <c r="A9" s="2"/>
      <c r="B9" s="3"/>
    </row>
    <row r="10" customFormat="false" ht="15" hidden="false" customHeight="false" outlineLevel="0" collapsed="false">
      <c r="A10" s="4" t="s">
        <v>10</v>
      </c>
      <c r="B10" s="4"/>
    </row>
    <row r="11" customFormat="false" ht="30" hidden="false" customHeight="true" outlineLevel="0" collapsed="false">
      <c r="A11" s="2" t="s">
        <v>11</v>
      </c>
      <c r="B11" s="3" t="s">
        <v>12</v>
      </c>
    </row>
    <row r="12" customFormat="false" ht="30" hidden="false" customHeight="true" outlineLevel="0" collapsed="false">
      <c r="A12" s="2" t="s">
        <v>13</v>
      </c>
      <c r="B12" s="3" t="s">
        <v>14</v>
      </c>
    </row>
    <row r="13" customFormat="false" ht="30" hidden="false" customHeight="true" outlineLevel="0" collapsed="false">
      <c r="A13" s="2" t="s">
        <v>15</v>
      </c>
      <c r="B13" s="3" t="s">
        <v>16</v>
      </c>
    </row>
    <row r="14" customFormat="false" ht="30" hidden="false" customHeight="true" outlineLevel="0" collapsed="false">
      <c r="A14" s="2" t="s">
        <v>17</v>
      </c>
      <c r="B14" s="3" t="s">
        <v>18</v>
      </c>
    </row>
    <row r="15" customFormat="false" ht="30" hidden="false" customHeight="true" outlineLevel="0" collapsed="false">
      <c r="A15" s="2" t="s">
        <v>19</v>
      </c>
      <c r="B15" s="3" t="s">
        <v>20</v>
      </c>
    </row>
    <row r="16" customFormat="false" ht="13.5" hidden="false" customHeight="true" outlineLevel="0" collapsed="false">
      <c r="A16" s="2"/>
      <c r="B16" s="3"/>
    </row>
    <row r="17" customFormat="false" ht="30" hidden="false" customHeight="true" outlineLevel="0" collapsed="false">
      <c r="A17" s="2" t="s">
        <v>21</v>
      </c>
      <c r="B17" s="3" t="s">
        <v>22</v>
      </c>
    </row>
  </sheetData>
  <mergeCells count="3">
    <mergeCell ref="A1:B1"/>
    <mergeCell ref="A5:B5"/>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5AFF"/>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3"/>
    <col collapsed="false" customWidth="true" hidden="false" outlineLevel="0" max="5" min="5" style="0" width="46"/>
    <col collapsed="false" customWidth="true" hidden="false" outlineLevel="0" max="6" min="6" style="0" width="20"/>
  </cols>
  <sheetData>
    <row r="1" customFormat="false" ht="24" hidden="false" customHeight="true" outlineLevel="0" collapsed="false">
      <c r="A1" s="1" t="s">
        <v>23</v>
      </c>
      <c r="B1" s="1"/>
      <c r="C1" s="1"/>
      <c r="D1" s="1"/>
      <c r="E1" s="1"/>
      <c r="F1" s="1"/>
    </row>
    <row r="2" customFormat="false" ht="15" hidden="false" customHeight="true" outlineLevel="0" collapsed="false">
      <c r="B2" s="5" t="s">
        <v>24</v>
      </c>
      <c r="C2" s="5"/>
      <c r="D2" s="5"/>
      <c r="E2" s="5"/>
      <c r="F2" s="5"/>
    </row>
    <row r="4" customFormat="false" ht="15" hidden="false" customHeight="false" outlineLevel="0" collapsed="false">
      <c r="B4" s="6" t="s">
        <v>25</v>
      </c>
      <c r="C4" s="6"/>
    </row>
    <row r="5" customFormat="false" ht="15" hidden="false" customHeight="false" outlineLevel="0" collapsed="false">
      <c r="B5" s="2" t="s">
        <v>26</v>
      </c>
      <c r="C5" s="7" t="s">
        <v>27</v>
      </c>
    </row>
    <row r="7" customFormat="false" ht="15" hidden="false" customHeight="false" outlineLevel="0" collapsed="false">
      <c r="B7" s="6" t="s">
        <v>28</v>
      </c>
      <c r="C7" s="6"/>
    </row>
    <row r="8" customFormat="false" ht="15" hidden="false" customHeight="false" outlineLevel="0" collapsed="false">
      <c r="B8" s="2" t="s">
        <v>29</v>
      </c>
      <c r="C8" s="8" t="n">
        <v>20000</v>
      </c>
    </row>
    <row r="9" customFormat="false" ht="15" hidden="false" customHeight="false" outlineLevel="0" collapsed="false">
      <c r="B9" s="2" t="s">
        <v>30</v>
      </c>
      <c r="C9" s="9" t="n">
        <v>45991</v>
      </c>
    </row>
    <row r="10" customFormat="false" ht="15" hidden="false" customHeight="false" outlineLevel="0" collapsed="false">
      <c r="B10" s="2" t="s">
        <v>31</v>
      </c>
      <c r="C10" s="10" t="n">
        <v>0.95</v>
      </c>
    </row>
    <row r="11" customFormat="false" ht="15" hidden="false" customHeight="false" outlineLevel="0" collapsed="false">
      <c r="B11" s="2" t="s">
        <v>32</v>
      </c>
      <c r="C11" s="11" t="n">
        <f aca="false">C10/12</f>
        <v>0.0791666666666667</v>
      </c>
    </row>
    <row r="12" customFormat="false" ht="15" hidden="false" customHeight="false" outlineLevel="0" collapsed="false">
      <c r="B12" s="2" t="s">
        <v>33</v>
      </c>
      <c r="C12" s="7" t="n">
        <v>12</v>
      </c>
    </row>
    <row r="13" customFormat="false" ht="15" hidden="false" customHeight="false" outlineLevel="0" collapsed="false">
      <c r="B13" s="2" t="s">
        <v>34</v>
      </c>
      <c r="C13" s="9" t="n">
        <v>46024</v>
      </c>
    </row>
    <row r="14" customFormat="false" ht="15" hidden="false" customHeight="false" outlineLevel="0" collapsed="false">
      <c r="B14" s="2" t="s">
        <v>35</v>
      </c>
      <c r="C14" s="8" t="n">
        <v>500</v>
      </c>
    </row>
    <row r="15" customFormat="false" ht="15" hidden="false" customHeight="false" outlineLevel="0" collapsed="false">
      <c r="B15" s="2" t="s">
        <v>36</v>
      </c>
      <c r="C15" s="8" t="n">
        <v>150</v>
      </c>
    </row>
    <row r="16" customFormat="false" ht="15" hidden="false" customHeight="false" outlineLevel="0" collapsed="false">
      <c r="B16" s="2" t="s">
        <v>37</v>
      </c>
      <c r="C16" s="12" t="n">
        <f aca="false">C8-C14-C15</f>
        <v>19350</v>
      </c>
    </row>
    <row r="17" customFormat="false" ht="15" hidden="false" customHeight="false" outlineLevel="0" collapsed="false">
      <c r="B17" s="2" t="s">
        <v>38</v>
      </c>
      <c r="C17" s="10" t="n">
        <v>0.0911</v>
      </c>
    </row>
    <row r="18" customFormat="false" ht="15" hidden="false" customHeight="true" outlineLevel="0" collapsed="false">
      <c r="B18" s="5" t="s">
        <v>39</v>
      </c>
      <c r="C18" s="5"/>
    </row>
    <row r="19" customFormat="false" ht="15" hidden="false" customHeight="false" outlineLevel="0" collapsed="false">
      <c r="B19" s="2" t="s">
        <v>40</v>
      </c>
      <c r="C19" s="8" t="n">
        <v>500</v>
      </c>
    </row>
    <row r="21" customFormat="false" ht="15" hidden="false" customHeight="false" outlineLevel="0" collapsed="false">
      <c r="B21" s="6" t="s">
        <v>41</v>
      </c>
      <c r="C21" s="6"/>
    </row>
    <row r="22" customFormat="false" ht="15" hidden="false" customHeight="false" outlineLevel="0" collapsed="false">
      <c r="B22" s="2" t="s">
        <v>42</v>
      </c>
      <c r="C22" s="12" t="n">
        <f aca="false">-PMT(C11,C12,C8)</f>
        <v>2642.45288016788</v>
      </c>
    </row>
    <row r="23" customFormat="false" ht="15" hidden="false" customHeight="false" outlineLevel="0" collapsed="false">
      <c r="B23" s="2" t="s">
        <v>43</v>
      </c>
      <c r="C23" s="13" t="n">
        <f aca="false">EDATE(C13,C12-1)</f>
        <v>46358</v>
      </c>
    </row>
  </sheetData>
  <mergeCells count="6">
    <mergeCell ref="A1:F1"/>
    <mergeCell ref="B2:F2"/>
    <mergeCell ref="B4:C4"/>
    <mergeCell ref="B7:C7"/>
    <mergeCell ref="B18:C18"/>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5AFF"/>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5" min="3" style="0" width="15"/>
    <col collapsed="false" customWidth="true" hidden="false" outlineLevel="0" max="6" min="6" style="0" width="14"/>
    <col collapsed="false" customWidth="true" hidden="false" outlineLevel="0" max="7" min="7" style="0" width="15"/>
    <col collapsed="false" customWidth="true" hidden="false" outlineLevel="0" max="8" min="8" style="0" width="16"/>
  </cols>
  <sheetData>
    <row r="1" customFormat="false" ht="21.75" hidden="false" customHeight="true" outlineLevel="0" collapsed="false">
      <c r="A1" s="1" t="s">
        <v>44</v>
      </c>
      <c r="B1" s="1"/>
      <c r="C1" s="1"/>
      <c r="D1" s="1"/>
      <c r="E1" s="1"/>
      <c r="F1" s="1"/>
      <c r="G1" s="1"/>
      <c r="H1" s="1"/>
    </row>
    <row r="2" customFormat="false" ht="64.15" hidden="false" customHeight="true" outlineLevel="0" collapsed="false">
      <c r="A2" s="5" t="s">
        <v>45</v>
      </c>
      <c r="B2" s="5"/>
      <c r="C2" s="5"/>
      <c r="D2" s="5"/>
      <c r="E2" s="5"/>
      <c r="F2" s="5"/>
      <c r="G2" s="5"/>
      <c r="H2" s="5"/>
    </row>
    <row r="4" customFormat="false" ht="30" hidden="false" customHeight="true" outlineLevel="0" collapsed="false">
      <c r="A4" s="14" t="s">
        <v>46</v>
      </c>
      <c r="B4" s="14" t="s">
        <v>47</v>
      </c>
      <c r="C4" s="14" t="s">
        <v>48</v>
      </c>
      <c r="D4" s="14" t="s">
        <v>49</v>
      </c>
      <c r="E4" s="14" t="s">
        <v>50</v>
      </c>
      <c r="F4" s="14" t="s">
        <v>51</v>
      </c>
      <c r="G4" s="14" t="s">
        <v>52</v>
      </c>
      <c r="H4" s="14" t="s">
        <v>53</v>
      </c>
    </row>
    <row r="5" customFormat="false" ht="15" hidden="false" customHeight="false" outlineLevel="0" collapsed="false">
      <c r="A5" s="15" t="n">
        <f aca="false">IF(1&lt;='1. Original Loan Setup'!$C$12,1,"")</f>
        <v>1</v>
      </c>
      <c r="B5" s="16" t="n">
        <f aca="false">IF(1&lt;='1. Original Loan Setup'!$C$12,EDATE('1. Original Loan Setup'!$C$13,1-1),"")</f>
        <v>46024</v>
      </c>
      <c r="C5" s="17" t="n">
        <f aca="false">IF(1&lt;='1. Original Loan Setup'!$C$12,'1. Original Loan Setup'!$C$8,"")</f>
        <v>20000</v>
      </c>
      <c r="D5" s="17" t="n">
        <f aca="false">IF(1&lt;'1. Original Loan Setup'!$C$12,'1. Original Loan Setup'!$C$22-E5,IF(1='1. Original Loan Setup'!$C$12,C5,""))</f>
        <v>1028.75425003089</v>
      </c>
      <c r="E5" s="17" t="n">
        <f aca="false">IF(1&lt;='1. Original Loan Setup'!$C$12,C5*'1. Original Loan Setup'!$C$10/365*(B5-EDATE(B5,-1)),"")</f>
        <v>1613.69863013699</v>
      </c>
      <c r="F5" s="17" t="n">
        <f aca="false">IF(1&lt;='1. Original Loan Setup'!$C$12,(D5+E5)*'1. Original Loan Setup'!$C$17,"")</f>
        <v>240.727457383294</v>
      </c>
      <c r="G5" s="17" t="n">
        <f aca="false">IF(1&lt;='1. Original Loan Setup'!$C$12,D5+E5+F5,"")</f>
        <v>2883.18033755117</v>
      </c>
      <c r="H5" s="17" t="n">
        <f aca="false">IF(1&lt;='1. Original Loan Setup'!$C$12,C5-D5,"")</f>
        <v>18971.2457499691</v>
      </c>
    </row>
    <row r="6" customFormat="false" ht="15" hidden="false" customHeight="false" outlineLevel="0" collapsed="false">
      <c r="A6" s="15" t="n">
        <f aca="false">IF(2&lt;='1. Original Loan Setup'!$C$12,2,"")</f>
        <v>2</v>
      </c>
      <c r="B6" s="16" t="n">
        <f aca="false">IF(2&lt;='1. Original Loan Setup'!$C$12,EDATE('1. Original Loan Setup'!$C$13,2-1),"")</f>
        <v>46055</v>
      </c>
      <c r="C6" s="17" t="n">
        <f aca="false">IF(2&lt;='1. Original Loan Setup'!$C$12,H5,"")</f>
        <v>18971.2457499691</v>
      </c>
      <c r="D6" s="17" t="n">
        <f aca="false">IF(2&lt;'1. Original Loan Setup'!$C$12,'1. Original Loan Setup'!$C$22-E6,IF(2='1. Original Loan Setup'!$C$12,C6,""))</f>
        <v>1111.75921623201</v>
      </c>
      <c r="E6" s="17" t="n">
        <f aca="false">IF(2&lt;='1. Original Loan Setup'!$C$12,C6*'1. Original Loan Setup'!$C$10/365*(B6-EDATE(B6,-1)),"")</f>
        <v>1530.69366393586</v>
      </c>
      <c r="F6" s="17" t="n">
        <f aca="false">IF(2&lt;='1. Original Loan Setup'!$C$12,(D6+E6)*'1. Original Loan Setup'!$C$17,"")</f>
        <v>240.727457383294</v>
      </c>
      <c r="G6" s="17" t="n">
        <f aca="false">IF(2&lt;='1. Original Loan Setup'!$C$12,D6+E6+F6,"")</f>
        <v>2883.18033755117</v>
      </c>
      <c r="H6" s="17" t="n">
        <f aca="false">IF(2&lt;='1. Original Loan Setup'!$C$12,C6-D6,"")</f>
        <v>17859.4865337371</v>
      </c>
    </row>
    <row r="7" customFormat="false" ht="15" hidden="false" customHeight="false" outlineLevel="0" collapsed="false">
      <c r="A7" s="15" t="n">
        <f aca="false">IF(3&lt;='1. Original Loan Setup'!$C$12,3,"")</f>
        <v>3</v>
      </c>
      <c r="B7" s="16" t="n">
        <f aca="false">IF(3&lt;='1. Original Loan Setup'!$C$12,EDATE('1. Original Loan Setup'!$C$13,3-1),"")</f>
        <v>46083</v>
      </c>
      <c r="C7" s="17" t="n">
        <f aca="false">IF(3&lt;='1. Original Loan Setup'!$C$12,H6,"")</f>
        <v>17859.4865337371</v>
      </c>
      <c r="D7" s="17" t="n">
        <f aca="false">IF(3&lt;'1. Original Loan Setup'!$C$12,'1. Original Loan Setup'!$C$22-E7,IF(3='1. Original Loan Setup'!$C$12,C7,""))</f>
        <v>1340.91221770923</v>
      </c>
      <c r="E7" s="17" t="n">
        <f aca="false">IF(3&lt;='1. Original Loan Setup'!$C$12,C7*'1. Original Loan Setup'!$C$10/365*(B7-EDATE(B7,-1)),"")</f>
        <v>1301.54066245865</v>
      </c>
      <c r="F7" s="17" t="n">
        <f aca="false">IF(3&lt;='1. Original Loan Setup'!$C$12,(D7+E7)*'1. Original Loan Setup'!$C$17,"")</f>
        <v>240.727457383294</v>
      </c>
      <c r="G7" s="17" t="n">
        <f aca="false">IF(3&lt;='1. Original Loan Setup'!$C$12,D7+E7+F7,"")</f>
        <v>2883.18033755117</v>
      </c>
      <c r="H7" s="17" t="n">
        <f aca="false">IF(3&lt;='1. Original Loan Setup'!$C$12,C7-D7,"")</f>
        <v>16518.5743160279</v>
      </c>
    </row>
    <row r="8" customFormat="false" ht="15" hidden="false" customHeight="false" outlineLevel="0" collapsed="false">
      <c r="A8" s="15" t="n">
        <f aca="false">IF(4&lt;='1. Original Loan Setup'!$C$12,4,"")</f>
        <v>4</v>
      </c>
      <c r="B8" s="16" t="n">
        <f aca="false">IF(4&lt;='1. Original Loan Setup'!$C$12,EDATE('1. Original Loan Setup'!$C$13,4-1),"")</f>
        <v>46114</v>
      </c>
      <c r="C8" s="17" t="n">
        <f aca="false">IF(4&lt;='1. Original Loan Setup'!$C$12,H7,"")</f>
        <v>16518.5743160279</v>
      </c>
      <c r="D8" s="17" t="n">
        <f aca="false">IF(4&lt;'1. Original Loan Setup'!$C$12,'1. Original Loan Setup'!$C$22-E8,IF(4='1. Original Loan Setup'!$C$12,C8,""))</f>
        <v>1309.65284288837</v>
      </c>
      <c r="E8" s="17" t="n">
        <f aca="false">IF(4&lt;='1. Original Loan Setup'!$C$12,C8*'1. Original Loan Setup'!$C$10/365*(B8-EDATE(B8,-1)),"")</f>
        <v>1332.80003727951</v>
      </c>
      <c r="F8" s="17" t="n">
        <f aca="false">IF(4&lt;='1. Original Loan Setup'!$C$12,(D8+E8)*'1. Original Loan Setup'!$C$17,"")</f>
        <v>240.727457383294</v>
      </c>
      <c r="G8" s="17" t="n">
        <f aca="false">IF(4&lt;='1. Original Loan Setup'!$C$12,D8+E8+F8,"")</f>
        <v>2883.18033755117</v>
      </c>
      <c r="H8" s="17" t="n">
        <f aca="false">IF(4&lt;='1. Original Loan Setup'!$C$12,C8-D8,"")</f>
        <v>15208.9214731395</v>
      </c>
    </row>
    <row r="9" customFormat="false" ht="15" hidden="false" customHeight="false" outlineLevel="0" collapsed="false">
      <c r="A9" s="15" t="n">
        <f aca="false">IF(5&lt;='1. Original Loan Setup'!$C$12,5,"")</f>
        <v>5</v>
      </c>
      <c r="B9" s="16" t="n">
        <f aca="false">IF(5&lt;='1. Original Loan Setup'!$C$12,EDATE('1. Original Loan Setup'!$C$13,5-1),"")</f>
        <v>46144</v>
      </c>
      <c r="C9" s="17" t="n">
        <f aca="false">IF(5&lt;='1. Original Loan Setup'!$C$12,H8,"")</f>
        <v>15208.9214731395</v>
      </c>
      <c r="D9" s="17" t="n">
        <f aca="false">IF(5&lt;'1. Original Loan Setup'!$C$12,'1. Original Loan Setup'!$C$22-E9,IF(5='1. Original Loan Setup'!$C$12,C9,""))</f>
        <v>1454.90695692274</v>
      </c>
      <c r="E9" s="17" t="n">
        <f aca="false">IF(5&lt;='1. Original Loan Setup'!$C$12,C9*'1. Original Loan Setup'!$C$10/365*(B9-EDATE(B9,-1)),"")</f>
        <v>1187.54592324514</v>
      </c>
      <c r="F9" s="17" t="n">
        <f aca="false">IF(5&lt;='1. Original Loan Setup'!$C$12,(D9+E9)*'1. Original Loan Setup'!$C$17,"")</f>
        <v>240.727457383294</v>
      </c>
      <c r="G9" s="17" t="n">
        <f aca="false">IF(5&lt;='1. Original Loan Setup'!$C$12,D9+E9+F9,"")</f>
        <v>2883.18033755117</v>
      </c>
      <c r="H9" s="17" t="n">
        <f aca="false">IF(5&lt;='1. Original Loan Setup'!$C$12,C9-D9,"")</f>
        <v>13754.0145162168</v>
      </c>
    </row>
    <row r="10" customFormat="false" ht="15" hidden="false" customHeight="false" outlineLevel="0" collapsed="false">
      <c r="A10" s="15" t="n">
        <f aca="false">IF(6&lt;='1. Original Loan Setup'!$C$12,6,"")</f>
        <v>6</v>
      </c>
      <c r="B10" s="16" t="n">
        <f aca="false">IF(6&lt;='1. Original Loan Setup'!$C$12,EDATE('1. Original Loan Setup'!$C$13,6-1),"")</f>
        <v>46175</v>
      </c>
      <c r="C10" s="17" t="n">
        <f aca="false">IF(6&lt;='1. Original Loan Setup'!$C$12,H9,"")</f>
        <v>13754.0145162168</v>
      </c>
      <c r="D10" s="17" t="n">
        <f aca="false">IF(6&lt;'1. Original Loan Setup'!$C$12,'1. Original Loan Setup'!$C$22-E10,IF(6='1. Original Loan Setup'!$C$12,C10,""))</f>
        <v>1532.71116098272</v>
      </c>
      <c r="E10" s="17" t="n">
        <f aca="false">IF(6&lt;='1. Original Loan Setup'!$C$12,C10*'1. Original Loan Setup'!$C$10/365*(B10-EDATE(B10,-1)),"")</f>
        <v>1109.74171918516</v>
      </c>
      <c r="F10" s="17" t="n">
        <f aca="false">IF(6&lt;='1. Original Loan Setup'!$C$12,(D10+E10)*'1. Original Loan Setup'!$C$17,"")</f>
        <v>240.727457383294</v>
      </c>
      <c r="G10" s="17" t="n">
        <f aca="false">IF(6&lt;='1. Original Loan Setup'!$C$12,D10+E10+F10,"")</f>
        <v>2883.18033755117</v>
      </c>
      <c r="H10" s="17" t="n">
        <f aca="false">IF(6&lt;='1. Original Loan Setup'!$C$12,C10-D10,"")</f>
        <v>12221.303355234</v>
      </c>
    </row>
    <row r="11" customFormat="false" ht="15" hidden="false" customHeight="false" outlineLevel="0" collapsed="false">
      <c r="A11" s="15" t="n">
        <f aca="false">IF(7&lt;='1. Original Loan Setup'!$C$12,7,"")</f>
        <v>7</v>
      </c>
      <c r="B11" s="16" t="n">
        <f aca="false">IF(7&lt;='1. Original Loan Setup'!$C$12,EDATE('1. Original Loan Setup'!$C$13,7-1),"")</f>
        <v>46205</v>
      </c>
      <c r="C11" s="17" t="n">
        <f aca="false">IF(7&lt;='1. Original Loan Setup'!$C$12,H10,"")</f>
        <v>12221.303355234</v>
      </c>
      <c r="D11" s="17" t="n">
        <f aca="false">IF(7&lt;'1. Original Loan Setup'!$C$12,'1. Original Loan Setup'!$C$22-E11,IF(7='1. Original Loan Setup'!$C$12,C11,""))</f>
        <v>1688.18672777289</v>
      </c>
      <c r="E11" s="17" t="n">
        <f aca="false">IF(7&lt;='1. Original Loan Setup'!$C$12,C11*'1. Original Loan Setup'!$C$10/365*(B11-EDATE(B11,-1)),"")</f>
        <v>954.266152394987</v>
      </c>
      <c r="F11" s="17" t="n">
        <f aca="false">IF(7&lt;='1. Original Loan Setup'!$C$12,(D11+E11)*'1. Original Loan Setup'!$C$17,"")</f>
        <v>240.727457383294</v>
      </c>
      <c r="G11" s="17" t="n">
        <f aca="false">IF(7&lt;='1. Original Loan Setup'!$C$12,D11+E11+F11,"")</f>
        <v>2883.18033755117</v>
      </c>
      <c r="H11" s="17" t="n">
        <f aca="false">IF(7&lt;='1. Original Loan Setup'!$C$12,C11-D11,"")</f>
        <v>10533.1166274611</v>
      </c>
    </row>
    <row r="12" customFormat="false" ht="15" hidden="false" customHeight="false" outlineLevel="0" collapsed="false">
      <c r="A12" s="15" t="n">
        <f aca="false">IF(8&lt;='1. Original Loan Setup'!$C$12,8,"")</f>
        <v>8</v>
      </c>
      <c r="B12" s="16" t="n">
        <f aca="false">IF(8&lt;='1. Original Loan Setup'!$C$12,EDATE('1. Original Loan Setup'!$C$13,8-1),"")</f>
        <v>46236</v>
      </c>
      <c r="C12" s="17" t="n">
        <f aca="false">IF(8&lt;='1. Original Loan Setup'!$C$12,H11,"")</f>
        <v>10533.1166274611</v>
      </c>
      <c r="D12" s="17" t="n">
        <f aca="false">IF(8&lt;'1. Original Loan Setup'!$C$12,'1. Original Loan Setup'!$C$22-E12,IF(8='1. Original Loan Setup'!$C$12,C12,""))</f>
        <v>1792.58908652752</v>
      </c>
      <c r="E12" s="17" t="n">
        <f aca="false">IF(8&lt;='1. Original Loan Setup'!$C$12,C12*'1. Original Loan Setup'!$C$10/365*(B12-EDATE(B12,-1)),"")</f>
        <v>849.863793640358</v>
      </c>
      <c r="F12" s="17" t="n">
        <f aca="false">IF(8&lt;='1. Original Loan Setup'!$C$12,(D12+E12)*'1. Original Loan Setup'!$C$17,"")</f>
        <v>240.727457383294</v>
      </c>
      <c r="G12" s="17" t="n">
        <f aca="false">IF(8&lt;='1. Original Loan Setup'!$C$12,D12+E12+F12,"")</f>
        <v>2883.18033755117</v>
      </c>
      <c r="H12" s="17" t="n">
        <f aca="false">IF(8&lt;='1. Original Loan Setup'!$C$12,C12-D12,"")</f>
        <v>8740.52754093363</v>
      </c>
    </row>
    <row r="13" customFormat="false" ht="15" hidden="false" customHeight="false" outlineLevel="0" collapsed="false">
      <c r="A13" s="15" t="n">
        <f aca="false">IF(9&lt;='1. Original Loan Setup'!$C$12,9,"")</f>
        <v>9</v>
      </c>
      <c r="B13" s="16" t="n">
        <f aca="false">IF(9&lt;='1. Original Loan Setup'!$C$12,EDATE('1. Original Loan Setup'!$C$13,9-1),"")</f>
        <v>46267</v>
      </c>
      <c r="C13" s="17" t="n">
        <f aca="false">IF(9&lt;='1. Original Loan Setup'!$C$12,H12,"")</f>
        <v>8740.52754093363</v>
      </c>
      <c r="D13" s="17" t="n">
        <f aca="false">IF(9&lt;'1. Original Loan Setup'!$C$12,'1. Original Loan Setup'!$C$22-E13,IF(9='1. Original Loan Setup'!$C$12,C13,""))</f>
        <v>1937.22401419392</v>
      </c>
      <c r="E13" s="17" t="n">
        <f aca="false">IF(9&lt;='1. Original Loan Setup'!$C$12,C13*'1. Original Loan Setup'!$C$10/365*(B13-EDATE(B13,-1)),"")</f>
        <v>705.22886597396</v>
      </c>
      <c r="F13" s="17" t="n">
        <f aca="false">IF(9&lt;='1. Original Loan Setup'!$C$12,(D13+E13)*'1. Original Loan Setup'!$C$17,"")</f>
        <v>240.727457383294</v>
      </c>
      <c r="G13" s="17" t="n">
        <f aca="false">IF(9&lt;='1. Original Loan Setup'!$C$12,D13+E13+F13,"")</f>
        <v>2883.18033755117</v>
      </c>
      <c r="H13" s="17" t="n">
        <f aca="false">IF(9&lt;='1. Original Loan Setup'!$C$12,C13-D13,"")</f>
        <v>6803.30352673971</v>
      </c>
    </row>
    <row r="14" customFormat="false" ht="15" hidden="false" customHeight="false" outlineLevel="0" collapsed="false">
      <c r="A14" s="15" t="n">
        <f aca="false">IF(10&lt;='1. Original Loan Setup'!$C$12,10,"")</f>
        <v>10</v>
      </c>
      <c r="B14" s="16" t="n">
        <f aca="false">IF(10&lt;='1. Original Loan Setup'!$C$12,EDATE('1. Original Loan Setup'!$C$13,10-1),"")</f>
        <v>46297</v>
      </c>
      <c r="C14" s="17" t="n">
        <f aca="false">IF(10&lt;='1. Original Loan Setup'!$C$12,H13,"")</f>
        <v>6803.30352673971</v>
      </c>
      <c r="D14" s="17" t="n">
        <f aca="false">IF(10&lt;'1. Original Loan Setup'!$C$12,'1. Original Loan Setup'!$C$22-E14,IF(10='1. Original Loan Setup'!$C$12,C14,""))</f>
        <v>2111.23602944985</v>
      </c>
      <c r="E14" s="17" t="n">
        <f aca="false">IF(10&lt;='1. Original Loan Setup'!$C$12,C14*'1. Original Loan Setup'!$C$10/365*(B14-EDATE(B14,-1)),"")</f>
        <v>531.216850718032</v>
      </c>
      <c r="F14" s="17" t="n">
        <f aca="false">IF(10&lt;='1. Original Loan Setup'!$C$12,(D14+E14)*'1. Original Loan Setup'!$C$17,"")</f>
        <v>240.727457383294</v>
      </c>
      <c r="G14" s="17" t="n">
        <f aca="false">IF(10&lt;='1. Original Loan Setup'!$C$12,D14+E14+F14,"")</f>
        <v>2883.18033755117</v>
      </c>
      <c r="H14" s="17" t="n">
        <f aca="false">IF(10&lt;='1. Original Loan Setup'!$C$12,C14-D14,"")</f>
        <v>4692.06749728986</v>
      </c>
    </row>
    <row r="15" customFormat="false" ht="15" hidden="false" customHeight="false" outlineLevel="0" collapsed="false">
      <c r="A15" s="15" t="n">
        <f aca="false">IF(11&lt;='1. Original Loan Setup'!$C$12,11,"")</f>
        <v>11</v>
      </c>
      <c r="B15" s="16" t="n">
        <f aca="false">IF(11&lt;='1. Original Loan Setup'!$C$12,EDATE('1. Original Loan Setup'!$C$13,11-1),"")</f>
        <v>46328</v>
      </c>
      <c r="C15" s="17" t="n">
        <f aca="false">IF(11&lt;='1. Original Loan Setup'!$C$12,H14,"")</f>
        <v>4692.06749728986</v>
      </c>
      <c r="D15" s="17" t="n">
        <f aca="false">IF(11&lt;'1. Original Loan Setup'!$C$12,'1. Original Loan Setup'!$C$22-E15,IF(11='1. Original Loan Setup'!$C$12,C15,""))</f>
        <v>2263.87373552353</v>
      </c>
      <c r="E15" s="17" t="n">
        <f aca="false">IF(11&lt;='1. Original Loan Setup'!$C$12,C15*'1. Original Loan Setup'!$C$10/365*(B15-EDATE(B15,-1)),"")</f>
        <v>378.579144644346</v>
      </c>
      <c r="F15" s="17" t="n">
        <f aca="false">IF(11&lt;='1. Original Loan Setup'!$C$12,(D15+E15)*'1. Original Loan Setup'!$C$17,"")</f>
        <v>240.727457383294</v>
      </c>
      <c r="G15" s="17" t="n">
        <f aca="false">IF(11&lt;='1. Original Loan Setup'!$C$12,D15+E15+F15,"")</f>
        <v>2883.18033755117</v>
      </c>
      <c r="H15" s="17" t="n">
        <f aca="false">IF(11&lt;='1. Original Loan Setup'!$C$12,C15-D15,"")</f>
        <v>2428.19376176633</v>
      </c>
    </row>
    <row r="16" customFormat="false" ht="15" hidden="false" customHeight="false" outlineLevel="0" collapsed="false">
      <c r="A16" s="15" t="n">
        <f aca="false">IF(12&lt;='1. Original Loan Setup'!$C$12,12,"")</f>
        <v>12</v>
      </c>
      <c r="B16" s="16" t="n">
        <f aca="false">IF(12&lt;='1. Original Loan Setup'!$C$12,EDATE('1. Original Loan Setup'!$C$13,12-1),"")</f>
        <v>46358</v>
      </c>
      <c r="C16" s="17" t="n">
        <f aca="false">IF(12&lt;='1. Original Loan Setup'!$C$12,H15,"")</f>
        <v>2428.19376176633</v>
      </c>
      <c r="D16" s="17" t="n">
        <f aca="false">IF(12&lt;'1. Original Loan Setup'!$C$12,'1. Original Loan Setup'!$C$22-E16,IF(12='1. Original Loan Setup'!$C$12,C16,""))</f>
        <v>2428.19376176633</v>
      </c>
      <c r="E16" s="17" t="n">
        <f aca="false">IF(12&lt;='1. Original Loan Setup'!$C$12,C16*'1. Original Loan Setup'!$C$10/365*(B16-EDATE(B16,-1)),"")</f>
        <v>189.598690987234</v>
      </c>
      <c r="F16" s="17" t="n">
        <f aca="false">IF(12&lt;='1. Original Loan Setup'!$C$12,(D16+E16)*'1. Original Loan Setup'!$C$17,"")</f>
        <v>238.48089244585</v>
      </c>
      <c r="G16" s="17" t="n">
        <f aca="false">IF(12&lt;='1. Original Loan Setup'!$C$12,D16+E16+F16,"")</f>
        <v>2856.27334519941</v>
      </c>
      <c r="H16" s="17" t="n">
        <f aca="false">IF(12&lt;='1. Original Loan Setup'!$C$12,C16-D16,"")</f>
        <v>0</v>
      </c>
    </row>
    <row r="17" customFormat="false" ht="15" hidden="false" customHeight="false" outlineLevel="0" collapsed="false">
      <c r="A17" s="15" t="str">
        <f aca="false">IF(13&lt;='1. Original Loan Setup'!$C$12,13,"")</f>
        <v/>
      </c>
      <c r="B17" s="16" t="str">
        <f aca="false">IF(13&lt;='1. Original Loan Setup'!$C$12,EDATE('1. Original Loan Setup'!$C$13,13-1),"")</f>
        <v/>
      </c>
      <c r="C17" s="17" t="str">
        <f aca="false">IF(13&lt;='1. Original Loan Setup'!$C$12,H16,"")</f>
        <v/>
      </c>
      <c r="D17" s="17" t="str">
        <f aca="false">IF(13&lt;'1. Original Loan Setup'!$C$12,'1. Original Loan Setup'!$C$22-E17,IF(13='1. Original Loan Setup'!$C$12,C17,""))</f>
        <v/>
      </c>
      <c r="E17" s="17" t="str">
        <f aca="false">IF(13&lt;='1. Original Loan Setup'!$C$12,C17*'1. Original Loan Setup'!$C$10/365*(B17-EDATE(B17,-1)),"")</f>
        <v/>
      </c>
      <c r="F17" s="17" t="str">
        <f aca="false">IF(13&lt;='1. Original Loan Setup'!$C$12,(D17+E17)*'1. Original Loan Setup'!$C$17,"")</f>
        <v/>
      </c>
      <c r="G17" s="17" t="str">
        <f aca="false">IF(13&lt;='1. Original Loan Setup'!$C$12,D17+E17+F17,"")</f>
        <v/>
      </c>
      <c r="H17" s="17" t="str">
        <f aca="false">IF(13&lt;='1. Original Loan Setup'!$C$12,C17-D17,"")</f>
        <v/>
      </c>
    </row>
    <row r="18" customFormat="false" ht="15" hidden="false" customHeight="false" outlineLevel="0" collapsed="false">
      <c r="A18" s="15" t="str">
        <f aca="false">IF(14&lt;='1. Original Loan Setup'!$C$12,14,"")</f>
        <v/>
      </c>
      <c r="B18" s="16" t="str">
        <f aca="false">IF(14&lt;='1. Original Loan Setup'!$C$12,EDATE('1. Original Loan Setup'!$C$13,14-1),"")</f>
        <v/>
      </c>
      <c r="C18" s="17" t="str">
        <f aca="false">IF(14&lt;='1. Original Loan Setup'!$C$12,H17,"")</f>
        <v/>
      </c>
      <c r="D18" s="17" t="str">
        <f aca="false">IF(14&lt;'1. Original Loan Setup'!$C$12,'1. Original Loan Setup'!$C$22-E18,IF(14='1. Original Loan Setup'!$C$12,C18,""))</f>
        <v/>
      </c>
      <c r="E18" s="17" t="str">
        <f aca="false">IF(14&lt;='1. Original Loan Setup'!$C$12,C18*'1. Original Loan Setup'!$C$10/365*(B18-EDATE(B18,-1)),"")</f>
        <v/>
      </c>
      <c r="F18" s="17" t="str">
        <f aca="false">IF(14&lt;='1. Original Loan Setup'!$C$12,(D18+E18)*'1. Original Loan Setup'!$C$17,"")</f>
        <v/>
      </c>
      <c r="G18" s="17" t="str">
        <f aca="false">IF(14&lt;='1. Original Loan Setup'!$C$12,D18+E18+F18,"")</f>
        <v/>
      </c>
      <c r="H18" s="17" t="str">
        <f aca="false">IF(14&lt;='1. Original Loan Setup'!$C$12,C18-D18,"")</f>
        <v/>
      </c>
    </row>
    <row r="19" customFormat="false" ht="15" hidden="false" customHeight="false" outlineLevel="0" collapsed="false">
      <c r="A19" s="15" t="str">
        <f aca="false">IF(15&lt;='1. Original Loan Setup'!$C$12,15,"")</f>
        <v/>
      </c>
      <c r="B19" s="16" t="str">
        <f aca="false">IF(15&lt;='1. Original Loan Setup'!$C$12,EDATE('1. Original Loan Setup'!$C$13,15-1),"")</f>
        <v/>
      </c>
      <c r="C19" s="17" t="str">
        <f aca="false">IF(15&lt;='1. Original Loan Setup'!$C$12,H18,"")</f>
        <v/>
      </c>
      <c r="D19" s="17" t="str">
        <f aca="false">IF(15&lt;'1. Original Loan Setup'!$C$12,'1. Original Loan Setup'!$C$22-E19,IF(15='1. Original Loan Setup'!$C$12,C19,""))</f>
        <v/>
      </c>
      <c r="E19" s="17" t="str">
        <f aca="false">IF(15&lt;='1. Original Loan Setup'!$C$12,C19*'1. Original Loan Setup'!$C$10/365*(B19-EDATE(B19,-1)),"")</f>
        <v/>
      </c>
      <c r="F19" s="17" t="str">
        <f aca="false">IF(15&lt;='1. Original Loan Setup'!$C$12,(D19+E19)*'1. Original Loan Setup'!$C$17,"")</f>
        <v/>
      </c>
      <c r="G19" s="17" t="str">
        <f aca="false">IF(15&lt;='1. Original Loan Setup'!$C$12,D19+E19+F19,"")</f>
        <v/>
      </c>
      <c r="H19" s="17" t="str">
        <f aca="false">IF(15&lt;='1. Original Loan Setup'!$C$12,C19-D19,"")</f>
        <v/>
      </c>
    </row>
    <row r="20" customFormat="false" ht="15" hidden="false" customHeight="false" outlineLevel="0" collapsed="false">
      <c r="A20" s="15" t="str">
        <f aca="false">IF(16&lt;='1. Original Loan Setup'!$C$12,16,"")</f>
        <v/>
      </c>
      <c r="B20" s="16" t="str">
        <f aca="false">IF(16&lt;='1. Original Loan Setup'!$C$12,EDATE('1. Original Loan Setup'!$C$13,16-1),"")</f>
        <v/>
      </c>
      <c r="C20" s="17" t="str">
        <f aca="false">IF(16&lt;='1. Original Loan Setup'!$C$12,H19,"")</f>
        <v/>
      </c>
      <c r="D20" s="17" t="str">
        <f aca="false">IF(16&lt;'1. Original Loan Setup'!$C$12,'1. Original Loan Setup'!$C$22-E20,IF(16='1. Original Loan Setup'!$C$12,C20,""))</f>
        <v/>
      </c>
      <c r="E20" s="17" t="str">
        <f aca="false">IF(16&lt;='1. Original Loan Setup'!$C$12,C20*'1. Original Loan Setup'!$C$10/365*(B20-EDATE(B20,-1)),"")</f>
        <v/>
      </c>
      <c r="F20" s="17" t="str">
        <f aca="false">IF(16&lt;='1. Original Loan Setup'!$C$12,(D20+E20)*'1. Original Loan Setup'!$C$17,"")</f>
        <v/>
      </c>
      <c r="G20" s="17" t="str">
        <f aca="false">IF(16&lt;='1. Original Loan Setup'!$C$12,D20+E20+F20,"")</f>
        <v/>
      </c>
      <c r="H20" s="17" t="str">
        <f aca="false">IF(16&lt;='1. Original Loan Setup'!$C$12,C20-D20,"")</f>
        <v/>
      </c>
    </row>
    <row r="21" customFormat="false" ht="15" hidden="false" customHeight="false" outlineLevel="0" collapsed="false">
      <c r="A21" s="15" t="str">
        <f aca="false">IF(17&lt;='1. Original Loan Setup'!$C$12,17,"")</f>
        <v/>
      </c>
      <c r="B21" s="16" t="str">
        <f aca="false">IF(17&lt;='1. Original Loan Setup'!$C$12,EDATE('1. Original Loan Setup'!$C$13,17-1),"")</f>
        <v/>
      </c>
      <c r="C21" s="17" t="str">
        <f aca="false">IF(17&lt;='1. Original Loan Setup'!$C$12,H20,"")</f>
        <v/>
      </c>
      <c r="D21" s="17" t="str">
        <f aca="false">IF(17&lt;'1. Original Loan Setup'!$C$12,'1. Original Loan Setup'!$C$22-E21,IF(17='1. Original Loan Setup'!$C$12,C21,""))</f>
        <v/>
      </c>
      <c r="E21" s="17" t="str">
        <f aca="false">IF(17&lt;='1. Original Loan Setup'!$C$12,C21*'1. Original Loan Setup'!$C$10/365*(B21-EDATE(B21,-1)),"")</f>
        <v/>
      </c>
      <c r="F21" s="17" t="str">
        <f aca="false">IF(17&lt;='1. Original Loan Setup'!$C$12,(D21+E21)*'1. Original Loan Setup'!$C$17,"")</f>
        <v/>
      </c>
      <c r="G21" s="17" t="str">
        <f aca="false">IF(17&lt;='1. Original Loan Setup'!$C$12,D21+E21+F21,"")</f>
        <v/>
      </c>
      <c r="H21" s="17" t="str">
        <f aca="false">IF(17&lt;='1. Original Loan Setup'!$C$12,C21-D21,"")</f>
        <v/>
      </c>
    </row>
    <row r="22" customFormat="false" ht="15" hidden="false" customHeight="false" outlineLevel="0" collapsed="false">
      <c r="A22" s="15" t="str">
        <f aca="false">IF(18&lt;='1. Original Loan Setup'!$C$12,18,"")</f>
        <v/>
      </c>
      <c r="B22" s="16" t="str">
        <f aca="false">IF(18&lt;='1. Original Loan Setup'!$C$12,EDATE('1. Original Loan Setup'!$C$13,18-1),"")</f>
        <v/>
      </c>
      <c r="C22" s="17" t="str">
        <f aca="false">IF(18&lt;='1. Original Loan Setup'!$C$12,H21,"")</f>
        <v/>
      </c>
      <c r="D22" s="17" t="str">
        <f aca="false">IF(18&lt;'1. Original Loan Setup'!$C$12,'1. Original Loan Setup'!$C$22-E22,IF(18='1. Original Loan Setup'!$C$12,C22,""))</f>
        <v/>
      </c>
      <c r="E22" s="17" t="str">
        <f aca="false">IF(18&lt;='1. Original Loan Setup'!$C$12,C22*'1. Original Loan Setup'!$C$10/365*(B22-EDATE(B22,-1)),"")</f>
        <v/>
      </c>
      <c r="F22" s="17" t="str">
        <f aca="false">IF(18&lt;='1. Original Loan Setup'!$C$12,(D22+E22)*'1. Original Loan Setup'!$C$17,"")</f>
        <v/>
      </c>
      <c r="G22" s="17" t="str">
        <f aca="false">IF(18&lt;='1. Original Loan Setup'!$C$12,D22+E22+F22,"")</f>
        <v/>
      </c>
      <c r="H22" s="17" t="str">
        <f aca="false">IF(18&lt;='1. Original Loan Setup'!$C$12,C22-D22,"")</f>
        <v/>
      </c>
    </row>
    <row r="23" customFormat="false" ht="15" hidden="false" customHeight="false" outlineLevel="0" collapsed="false">
      <c r="A23" s="15" t="str">
        <f aca="false">IF(19&lt;='1. Original Loan Setup'!$C$12,19,"")</f>
        <v/>
      </c>
      <c r="B23" s="16" t="str">
        <f aca="false">IF(19&lt;='1. Original Loan Setup'!$C$12,EDATE('1. Original Loan Setup'!$C$13,19-1),"")</f>
        <v/>
      </c>
      <c r="C23" s="17" t="str">
        <f aca="false">IF(19&lt;='1. Original Loan Setup'!$C$12,H22,"")</f>
        <v/>
      </c>
      <c r="D23" s="17" t="str">
        <f aca="false">IF(19&lt;'1. Original Loan Setup'!$C$12,'1. Original Loan Setup'!$C$22-E23,IF(19='1. Original Loan Setup'!$C$12,C23,""))</f>
        <v/>
      </c>
      <c r="E23" s="17" t="str">
        <f aca="false">IF(19&lt;='1. Original Loan Setup'!$C$12,C23*'1. Original Loan Setup'!$C$10/365*(B23-EDATE(B23,-1)),"")</f>
        <v/>
      </c>
      <c r="F23" s="17" t="str">
        <f aca="false">IF(19&lt;='1. Original Loan Setup'!$C$12,(D23+E23)*'1. Original Loan Setup'!$C$17,"")</f>
        <v/>
      </c>
      <c r="G23" s="17" t="str">
        <f aca="false">IF(19&lt;='1. Original Loan Setup'!$C$12,D23+E23+F23,"")</f>
        <v/>
      </c>
      <c r="H23" s="17" t="str">
        <f aca="false">IF(19&lt;='1. Original Loan Setup'!$C$12,C23-D23,"")</f>
        <v/>
      </c>
    </row>
    <row r="24" customFormat="false" ht="15" hidden="false" customHeight="false" outlineLevel="0" collapsed="false">
      <c r="A24" s="15" t="str">
        <f aca="false">IF(20&lt;='1. Original Loan Setup'!$C$12,20,"")</f>
        <v/>
      </c>
      <c r="B24" s="16" t="str">
        <f aca="false">IF(20&lt;='1. Original Loan Setup'!$C$12,EDATE('1. Original Loan Setup'!$C$13,20-1),"")</f>
        <v/>
      </c>
      <c r="C24" s="17" t="str">
        <f aca="false">IF(20&lt;='1. Original Loan Setup'!$C$12,H23,"")</f>
        <v/>
      </c>
      <c r="D24" s="17" t="str">
        <f aca="false">IF(20&lt;'1. Original Loan Setup'!$C$12,'1. Original Loan Setup'!$C$22-E24,IF(20='1. Original Loan Setup'!$C$12,C24,""))</f>
        <v/>
      </c>
      <c r="E24" s="17" t="str">
        <f aca="false">IF(20&lt;='1. Original Loan Setup'!$C$12,C24*'1. Original Loan Setup'!$C$10/365*(B24-EDATE(B24,-1)),"")</f>
        <v/>
      </c>
      <c r="F24" s="17" t="str">
        <f aca="false">IF(20&lt;='1. Original Loan Setup'!$C$12,(D24+E24)*'1. Original Loan Setup'!$C$17,"")</f>
        <v/>
      </c>
      <c r="G24" s="17" t="str">
        <f aca="false">IF(20&lt;='1. Original Loan Setup'!$C$12,D24+E24+F24,"")</f>
        <v/>
      </c>
      <c r="H24" s="17" t="str">
        <f aca="false">IF(20&lt;='1. Original Loan Setup'!$C$12,C24-D24,"")</f>
        <v/>
      </c>
    </row>
    <row r="25" customFormat="false" ht="15" hidden="false" customHeight="false" outlineLevel="0" collapsed="false">
      <c r="A25" s="18"/>
      <c r="B25" s="19" t="s">
        <v>54</v>
      </c>
      <c r="C25" s="18"/>
      <c r="D25" s="20" t="n">
        <f aca="false">SUM(D5:D24)</f>
        <v>20000</v>
      </c>
      <c r="E25" s="20" t="n">
        <f aca="false">SUM(E5:E24)</f>
        <v>11684.7741346002</v>
      </c>
      <c r="F25" s="20" t="n">
        <f aca="false">SUM(F5:F24)</f>
        <v>2886.48292366208</v>
      </c>
      <c r="G25" s="20" t="n">
        <f aca="false">SUM(G5:G24)</f>
        <v>34571.2570582623</v>
      </c>
      <c r="H25" s="1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82763"/>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20"/>
    <col collapsed="false" customWidth="true" hidden="false" outlineLevel="0" max="4" min="4" style="0" width="3"/>
    <col collapsed="false" customWidth="true" hidden="false" outlineLevel="0" max="5" min="5" style="0" width="55"/>
  </cols>
  <sheetData>
    <row r="1" customFormat="false" ht="24" hidden="false" customHeight="true" outlineLevel="0" collapsed="false">
      <c r="A1" s="1" t="s">
        <v>55</v>
      </c>
      <c r="B1" s="1"/>
      <c r="C1" s="1"/>
      <c r="D1" s="1"/>
      <c r="E1" s="1"/>
    </row>
    <row r="2" customFormat="false" ht="15" hidden="false" customHeight="true" outlineLevel="0" collapsed="false">
      <c r="B2" s="5" t="s">
        <v>56</v>
      </c>
      <c r="C2" s="5"/>
      <c r="D2" s="5"/>
      <c r="E2" s="5"/>
    </row>
    <row r="4" customFormat="false" ht="15" hidden="false" customHeight="false" outlineLevel="0" collapsed="false">
      <c r="B4" s="6" t="s">
        <v>57</v>
      </c>
      <c r="C4" s="6"/>
    </row>
    <row r="5" customFormat="false" ht="22.35" hidden="false" customHeight="false" outlineLevel="0" collapsed="false">
      <c r="B5" s="2" t="s">
        <v>58</v>
      </c>
      <c r="C5" s="9" t="n">
        <v>46083</v>
      </c>
      <c r="E5" s="21" t="s">
        <v>59</v>
      </c>
    </row>
    <row r="6" customFormat="false" ht="15" hidden="false" customHeight="false" outlineLevel="0" collapsed="false">
      <c r="B6" s="2" t="s">
        <v>60</v>
      </c>
      <c r="C6" s="9" t="n">
        <v>46252</v>
      </c>
    </row>
    <row r="7" customFormat="false" ht="15" hidden="false" customHeight="false" outlineLevel="0" collapsed="false">
      <c r="B7" s="2" t="s">
        <v>61</v>
      </c>
      <c r="C7" s="7" t="n">
        <v>138</v>
      </c>
    </row>
    <row r="9" customFormat="false" ht="15" hidden="false" customHeight="false" outlineLevel="0" collapsed="false">
      <c r="B9" s="6" t="s">
        <v>62</v>
      </c>
      <c r="C9" s="6"/>
    </row>
    <row r="10" customFormat="false" ht="32.8" hidden="false" customHeight="false" outlineLevel="0" collapsed="false">
      <c r="B10" s="2" t="s">
        <v>63</v>
      </c>
      <c r="C10" s="12" t="n">
        <f aca="false">IFERROR(INDEX('2. Original Amort Schedule'!$H$5:$H$24,MATCH(C5,'2. Original Amort Schedule'!$B$5:$B$24,0)),'1. Original Loan Setup'!$C$8)</f>
        <v>16518.5743160279</v>
      </c>
      <c r="E10" s="21" t="s">
        <v>64</v>
      </c>
    </row>
    <row r="11" customFormat="false" ht="43.25" hidden="false" customHeight="false" outlineLevel="0" collapsed="false">
      <c r="B11" s="2" t="s">
        <v>65</v>
      </c>
      <c r="C11" s="12" t="n">
        <f aca="false">C10*'1. Original Loan Setup'!$C$10/365*C7</f>
        <v>5933.1098433733</v>
      </c>
      <c r="E11" s="21" t="s">
        <v>66</v>
      </c>
    </row>
    <row r="12" customFormat="false" ht="22.35" hidden="false" customHeight="false" outlineLevel="0" collapsed="false">
      <c r="B12" s="2" t="s">
        <v>67</v>
      </c>
      <c r="C12" s="12" t="n">
        <f aca="false">ROUNDUP(C7/30,0)*'1. Original Loan Setup'!$C$19</f>
        <v>2500</v>
      </c>
      <c r="E12" s="21" t="s">
        <v>68</v>
      </c>
    </row>
    <row r="13" customFormat="false" ht="32.8" hidden="false" customHeight="false" outlineLevel="0" collapsed="false">
      <c r="B13" s="2" t="s">
        <v>69</v>
      </c>
      <c r="C13" s="12" t="n">
        <f aca="false">C10+C11+C12</f>
        <v>24951.6841594012</v>
      </c>
      <c r="E13" s="21" t="s">
        <v>70</v>
      </c>
    </row>
    <row r="15" customFormat="false" ht="15" hidden="false" customHeight="false" outlineLevel="0" collapsed="false">
      <c r="B15" s="6" t="s">
        <v>71</v>
      </c>
      <c r="C15" s="6"/>
    </row>
    <row r="16" customFormat="false" ht="53.7" hidden="false" customHeight="false" outlineLevel="0" collapsed="false">
      <c r="B16" s="2" t="s">
        <v>72</v>
      </c>
      <c r="C16" s="22" t="str">
        <f aca="false">IF(C7&gt;90,"No","Yes")</f>
        <v>No</v>
      </c>
      <c r="E16" s="21" t="s">
        <v>73</v>
      </c>
    </row>
    <row r="17" customFormat="false" ht="22.35" hidden="false" customHeight="false" outlineLevel="0" collapsed="false">
      <c r="B17" s="2" t="s">
        <v>74</v>
      </c>
      <c r="C17" s="7" t="s">
        <v>75</v>
      </c>
      <c r="E17" s="21" t="s">
        <v>76</v>
      </c>
    </row>
    <row r="19" customFormat="false" ht="15" hidden="false" customHeight="false" outlineLevel="0" collapsed="false">
      <c r="B19" s="6" t="s">
        <v>77</v>
      </c>
      <c r="C19" s="6"/>
    </row>
    <row r="20" customFormat="false" ht="22.35" hidden="false" customHeight="false" outlineLevel="0" collapsed="false">
      <c r="B20" s="2" t="s">
        <v>78</v>
      </c>
      <c r="C20" s="23" t="n">
        <f aca="false">C10+IF(C16="Yes",C11,0)+IF(C17="Yes",C12,0)</f>
        <v>16518.5743160279</v>
      </c>
      <c r="E20" s="21" t="s">
        <v>79</v>
      </c>
    </row>
    <row r="21" customFormat="false" ht="15" hidden="false" customHeight="false" outlineLevel="0" collapsed="false">
      <c r="B21" s="2" t="s">
        <v>80</v>
      </c>
      <c r="C21" s="10" t="n">
        <v>0.475</v>
      </c>
    </row>
    <row r="22" customFormat="false" ht="15" hidden="false" customHeight="false" outlineLevel="0" collapsed="false">
      <c r="B22" s="2" t="s">
        <v>81</v>
      </c>
      <c r="C22" s="11" t="n">
        <f aca="false">C21/12</f>
        <v>0.0395833333333333</v>
      </c>
    </row>
    <row r="23" customFormat="false" ht="15" hidden="false" customHeight="false" outlineLevel="0" collapsed="false">
      <c r="B23" s="2" t="s">
        <v>82</v>
      </c>
      <c r="C23" s="7" t="n">
        <v>16</v>
      </c>
    </row>
    <row r="24" customFormat="false" ht="15" hidden="false" customHeight="false" outlineLevel="0" collapsed="false">
      <c r="B24" s="2" t="s">
        <v>83</v>
      </c>
      <c r="C24" s="9" t="n">
        <v>46300</v>
      </c>
    </row>
    <row r="25" customFormat="false" ht="15" hidden="false" customHeight="false" outlineLevel="0" collapsed="false">
      <c r="B25" s="2" t="s">
        <v>84</v>
      </c>
      <c r="C25" s="9" t="n">
        <v>46252</v>
      </c>
    </row>
    <row r="26" customFormat="false" ht="15" hidden="false" customHeight="false" outlineLevel="0" collapsed="false">
      <c r="B26" s="2" t="s">
        <v>85</v>
      </c>
      <c r="C26" s="12" t="n">
        <f aca="false">-PMT(C22,C23,C20)</f>
        <v>1413.27011310375</v>
      </c>
    </row>
    <row r="27" customFormat="false" ht="15" hidden="false" customHeight="false" outlineLevel="0" collapsed="false">
      <c r="B27" s="2" t="s">
        <v>86</v>
      </c>
      <c r="C27" s="13" t="n">
        <f aca="false">EDATE(C24,C23-1)</f>
        <v>46757</v>
      </c>
    </row>
    <row r="28" customFormat="false" ht="15" hidden="false" customHeight="false" outlineLevel="0" collapsed="false">
      <c r="B28" s="2" t="s">
        <v>87</v>
      </c>
      <c r="C28" s="23" t="n">
        <f aca="false">C26*C23</f>
        <v>22612.32180966</v>
      </c>
    </row>
    <row r="29" customFormat="false" ht="15" hidden="false" customHeight="false" outlineLevel="0" collapsed="false">
      <c r="B29" s="2" t="s">
        <v>88</v>
      </c>
      <c r="C29" s="12" t="n">
        <f aca="false">IF(C16="No",C11,0)+IF(C17="No",C12,0)</f>
        <v>8433.1098433733</v>
      </c>
    </row>
  </sheetData>
  <mergeCells count="6">
    <mergeCell ref="A1:E1"/>
    <mergeCell ref="B2:E2"/>
    <mergeCell ref="B4:C4"/>
    <mergeCell ref="B9:C9"/>
    <mergeCell ref="B15:C15"/>
    <mergeCell ref="B19:C19"/>
  </mergeCells>
  <dataValidations count="1">
    <dataValidation allowBlank="false" errorStyle="stop" operator="between" showDropDown="false" showErrorMessage="false" showInputMessage="false" sqref="C1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82763"/>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6" min="3" style="0" width="15"/>
    <col collapsed="false" customWidth="true" hidden="false" outlineLevel="0" max="7" min="7" style="0" width="16"/>
  </cols>
  <sheetData>
    <row r="1" customFormat="false" ht="21.75" hidden="false" customHeight="true" outlineLevel="0" collapsed="false">
      <c r="A1" s="1" t="s">
        <v>89</v>
      </c>
      <c r="B1" s="1"/>
      <c r="C1" s="1"/>
      <c r="D1" s="1"/>
      <c r="E1" s="1"/>
      <c r="F1" s="1"/>
      <c r="G1" s="1"/>
      <c r="H1" s="1"/>
    </row>
    <row r="2" customFormat="false" ht="22.35" hidden="false" customHeight="true" outlineLevel="0" collapsed="false">
      <c r="A2" s="5" t="s">
        <v>90</v>
      </c>
      <c r="B2" s="5"/>
      <c r="C2" s="5"/>
      <c r="D2" s="5"/>
      <c r="E2" s="5"/>
      <c r="F2" s="5"/>
      <c r="G2" s="5"/>
      <c r="H2" s="5"/>
    </row>
    <row r="4" customFormat="false" ht="30" hidden="false" customHeight="true" outlineLevel="0" collapsed="false">
      <c r="A4" s="14" t="s">
        <v>46</v>
      </c>
      <c r="B4" s="14" t="s">
        <v>47</v>
      </c>
      <c r="C4" s="14" t="s">
        <v>48</v>
      </c>
      <c r="D4" s="14" t="s">
        <v>49</v>
      </c>
      <c r="E4" s="14" t="s">
        <v>50</v>
      </c>
      <c r="F4" s="14" t="s">
        <v>52</v>
      </c>
      <c r="G4" s="14" t="s">
        <v>53</v>
      </c>
    </row>
    <row r="5" customFormat="false" ht="15" hidden="false" customHeight="false" outlineLevel="0" collapsed="false">
      <c r="A5" s="15" t="n">
        <f aca="false">IF(1&lt;='3. Restructuring Workup'!$C$23,1,"")</f>
        <v>1</v>
      </c>
      <c r="B5" s="16" t="n">
        <f aca="false">IF(1&lt;='3. Restructuring Workup'!$C$23,EDATE('3. Restructuring Workup'!$C$24,1-1),"")</f>
        <v>46300</v>
      </c>
      <c r="C5" s="17" t="n">
        <f aca="false">IF(1&lt;='3. Restructuring Workup'!$C$23,'3. Restructuring Workup'!$C$20,"")</f>
        <v>16518.5743160279</v>
      </c>
      <c r="D5" s="17" t="n">
        <f aca="false">IF(1&lt;'3. Restructuring Workup'!$C$23,'3. Restructuring Workup'!$C$26-E5,IF(1='3. Restructuring Workup'!$C$23,C5,""))</f>
        <v>768.366869258824</v>
      </c>
      <c r="E5" s="17" t="n">
        <f aca="false">IF(1&lt;='3. Restructuring Workup'!$C$23,C5*'3. Restructuring Workup'!$C$21/365*(B5-EDATE(B5,-1)),"")</f>
        <v>644.903243844923</v>
      </c>
      <c r="F5" s="17" t="n">
        <f aca="false">IF(1&lt;='3. Restructuring Workup'!$C$23,D5+E5,"")</f>
        <v>1413.27011310375</v>
      </c>
      <c r="G5" s="17" t="n">
        <f aca="false">IF(1&lt;='3. Restructuring Workup'!$C$23,C5-D5,"")</f>
        <v>15750.207446769</v>
      </c>
    </row>
    <row r="6" customFormat="false" ht="15" hidden="false" customHeight="false" outlineLevel="0" collapsed="false">
      <c r="A6" s="15" t="n">
        <f aca="false">IF(2&lt;='3. Restructuring Workup'!$C$23,2,"")</f>
        <v>2</v>
      </c>
      <c r="B6" s="16" t="n">
        <f aca="false">IF(2&lt;='3. Restructuring Workup'!$C$23,EDATE('3. Restructuring Workup'!$C$24,2-1),"")</f>
        <v>46331</v>
      </c>
      <c r="C6" s="17" t="n">
        <f aca="false">IF(2&lt;='3. Restructuring Workup'!$C$23,G5,"")</f>
        <v>15750.207446769</v>
      </c>
      <c r="D6" s="17" t="n">
        <f aca="false">IF(2&lt;'3. Restructuring Workup'!$C$23,'3. Restructuring Workup'!$C$26-E6,IF(2='3. Restructuring Workup'!$C$23,C6,""))</f>
        <v>777.867908573133</v>
      </c>
      <c r="E6" s="17" t="n">
        <f aca="false">IF(2&lt;='3. Restructuring Workup'!$C$23,C6*'3. Restructuring Workup'!$C$21/365*(B6-EDATE(B6,-1)),"")</f>
        <v>635.402204530614</v>
      </c>
      <c r="F6" s="17" t="n">
        <f aca="false">IF(2&lt;='3. Restructuring Workup'!$C$23,D6+E6,"")</f>
        <v>1413.27011310375</v>
      </c>
      <c r="G6" s="17" t="n">
        <f aca="false">IF(2&lt;='3. Restructuring Workup'!$C$23,C6-D6,"")</f>
        <v>14972.3395381959</v>
      </c>
    </row>
    <row r="7" customFormat="false" ht="15" hidden="false" customHeight="false" outlineLevel="0" collapsed="false">
      <c r="A7" s="15" t="n">
        <f aca="false">IF(3&lt;='3. Restructuring Workup'!$C$23,3,"")</f>
        <v>3</v>
      </c>
      <c r="B7" s="16" t="n">
        <f aca="false">IF(3&lt;='3. Restructuring Workup'!$C$23,EDATE('3. Restructuring Workup'!$C$24,3-1),"")</f>
        <v>46361</v>
      </c>
      <c r="C7" s="17" t="n">
        <f aca="false">IF(3&lt;='3. Restructuring Workup'!$C$23,G6,"")</f>
        <v>14972.3395381959</v>
      </c>
      <c r="D7" s="17" t="n">
        <f aca="false">IF(3&lt;'3. Restructuring Workup'!$C$23,'3. Restructuring Workup'!$C$26-E7,IF(3='3. Restructuring Workup'!$C$23,C7,""))</f>
        <v>828.73356948925</v>
      </c>
      <c r="E7" s="17" t="n">
        <f aca="false">IF(3&lt;='3. Restructuring Workup'!$C$23,C7*'3. Restructuring Workup'!$C$21/365*(B7-EDATE(B7,-1)),"")</f>
        <v>584.536543614498</v>
      </c>
      <c r="F7" s="17" t="n">
        <f aca="false">IF(3&lt;='3. Restructuring Workup'!$C$23,D7+E7,"")</f>
        <v>1413.27011310375</v>
      </c>
      <c r="G7" s="17" t="n">
        <f aca="false">IF(3&lt;='3. Restructuring Workup'!$C$23,C7-D7,"")</f>
        <v>14143.6059687067</v>
      </c>
    </row>
    <row r="8" customFormat="false" ht="15" hidden="false" customHeight="false" outlineLevel="0" collapsed="false">
      <c r="A8" s="15" t="n">
        <f aca="false">IF(4&lt;='3. Restructuring Workup'!$C$23,4,"")</f>
        <v>4</v>
      </c>
      <c r="B8" s="16" t="n">
        <f aca="false">IF(4&lt;='3. Restructuring Workup'!$C$23,EDATE('3. Restructuring Workup'!$C$24,4-1),"")</f>
        <v>46392</v>
      </c>
      <c r="C8" s="17" t="n">
        <f aca="false">IF(4&lt;='3. Restructuring Workup'!$C$23,G7,"")</f>
        <v>14143.6059687067</v>
      </c>
      <c r="D8" s="17" t="n">
        <f aca="false">IF(4&lt;'3. Restructuring Workup'!$C$23,'3. Restructuring Workup'!$C$26-E8,IF(4='3. Restructuring Workup'!$C$23,C8,""))</f>
        <v>842.682173681266</v>
      </c>
      <c r="E8" s="17" t="n">
        <f aca="false">IF(4&lt;='3. Restructuring Workup'!$C$23,C8*'3. Restructuring Workup'!$C$21/365*(B8-EDATE(B8,-1)),"")</f>
        <v>570.587939422481</v>
      </c>
      <c r="F8" s="17" t="n">
        <f aca="false">IF(4&lt;='3. Restructuring Workup'!$C$23,D8+E8,"")</f>
        <v>1413.27011310375</v>
      </c>
      <c r="G8" s="17" t="n">
        <f aca="false">IF(4&lt;='3. Restructuring Workup'!$C$23,C8-D8,"")</f>
        <v>13300.9237950254</v>
      </c>
    </row>
    <row r="9" customFormat="false" ht="15" hidden="false" customHeight="false" outlineLevel="0" collapsed="false">
      <c r="A9" s="15" t="n">
        <f aca="false">IF(5&lt;='3. Restructuring Workup'!$C$23,5,"")</f>
        <v>5</v>
      </c>
      <c r="B9" s="16" t="n">
        <f aca="false">IF(5&lt;='3. Restructuring Workup'!$C$23,EDATE('3. Restructuring Workup'!$C$24,5-1),"")</f>
        <v>46423</v>
      </c>
      <c r="C9" s="17" t="n">
        <f aca="false">IF(5&lt;='3. Restructuring Workup'!$C$23,G8,"")</f>
        <v>13300.9237950254</v>
      </c>
      <c r="D9" s="17" t="n">
        <f aca="false">IF(5&lt;'3. Restructuring Workup'!$C$23,'3. Restructuring Workup'!$C$26-E9,IF(5='3. Restructuring Workup'!$C$23,C9,""))</f>
        <v>876.678050414024</v>
      </c>
      <c r="E9" s="17" t="n">
        <f aca="false">IF(5&lt;='3. Restructuring Workup'!$C$23,C9*'3. Restructuring Workup'!$C$21/365*(B9-EDATE(B9,-1)),"")</f>
        <v>536.592062689723</v>
      </c>
      <c r="F9" s="17" t="n">
        <f aca="false">IF(5&lt;='3. Restructuring Workup'!$C$23,D9+E9,"")</f>
        <v>1413.27011310375</v>
      </c>
      <c r="G9" s="17" t="n">
        <f aca="false">IF(5&lt;='3. Restructuring Workup'!$C$23,C9-D9,"")</f>
        <v>12424.2457446114</v>
      </c>
    </row>
    <row r="10" customFormat="false" ht="15" hidden="false" customHeight="false" outlineLevel="0" collapsed="false">
      <c r="A10" s="15" t="n">
        <f aca="false">IF(6&lt;='3. Restructuring Workup'!$C$23,6,"")</f>
        <v>6</v>
      </c>
      <c r="B10" s="16" t="n">
        <f aca="false">IF(6&lt;='3. Restructuring Workup'!$C$23,EDATE('3. Restructuring Workup'!$C$24,6-1),"")</f>
        <v>46451</v>
      </c>
      <c r="C10" s="17" t="n">
        <f aca="false">IF(6&lt;='3. Restructuring Workup'!$C$23,G9,"")</f>
        <v>12424.2457446114</v>
      </c>
      <c r="D10" s="17" t="n">
        <f aca="false">IF(6&lt;'3. Restructuring Workup'!$C$23,'3. Restructuring Workup'!$C$26-E10,IF(6='3. Restructuring Workup'!$C$23,C10,""))</f>
        <v>960.551021587771</v>
      </c>
      <c r="E10" s="17" t="n">
        <f aca="false">IF(6&lt;='3. Restructuring Workup'!$C$23,C10*'3. Restructuring Workup'!$C$21/365*(B10-EDATE(B10,-1)),"")</f>
        <v>452.719091515976</v>
      </c>
      <c r="F10" s="17" t="n">
        <f aca="false">IF(6&lt;='3. Restructuring Workup'!$C$23,D10+E10,"")</f>
        <v>1413.27011310375</v>
      </c>
      <c r="G10" s="17" t="n">
        <f aca="false">IF(6&lt;='3. Restructuring Workup'!$C$23,C10-D10,"")</f>
        <v>11463.6947230236</v>
      </c>
    </row>
    <row r="11" customFormat="false" ht="15" hidden="false" customHeight="false" outlineLevel="0" collapsed="false">
      <c r="A11" s="15" t="n">
        <f aca="false">IF(7&lt;='3. Restructuring Workup'!$C$23,7,"")</f>
        <v>7</v>
      </c>
      <c r="B11" s="16" t="n">
        <f aca="false">IF(7&lt;='3. Restructuring Workup'!$C$23,EDATE('3. Restructuring Workup'!$C$24,7-1),"")</f>
        <v>46482</v>
      </c>
      <c r="C11" s="17" t="n">
        <f aca="false">IF(7&lt;='3. Restructuring Workup'!$C$23,G10,"")</f>
        <v>11463.6947230236</v>
      </c>
      <c r="D11" s="17" t="n">
        <f aca="false">IF(7&lt;'3. Restructuring Workup'!$C$23,'3. Restructuring Workup'!$C$26-E11,IF(7='3. Restructuring Workup'!$C$23,C11,""))</f>
        <v>950.796401332453</v>
      </c>
      <c r="E11" s="17" t="n">
        <f aca="false">IF(7&lt;='3. Restructuring Workup'!$C$23,C11*'3. Restructuring Workup'!$C$21/365*(B11-EDATE(B11,-1)),"")</f>
        <v>462.473711771294</v>
      </c>
      <c r="F11" s="17" t="n">
        <f aca="false">IF(7&lt;='3. Restructuring Workup'!$C$23,D11+E11,"")</f>
        <v>1413.27011310375</v>
      </c>
      <c r="G11" s="17" t="n">
        <f aca="false">IF(7&lt;='3. Restructuring Workup'!$C$23,C11-D11,"")</f>
        <v>10512.8983216911</v>
      </c>
    </row>
    <row r="12" customFormat="false" ht="15" hidden="false" customHeight="false" outlineLevel="0" collapsed="false">
      <c r="A12" s="15" t="n">
        <f aca="false">IF(8&lt;='3. Restructuring Workup'!$C$23,8,"")</f>
        <v>8</v>
      </c>
      <c r="B12" s="16" t="n">
        <f aca="false">IF(8&lt;='3. Restructuring Workup'!$C$23,EDATE('3. Restructuring Workup'!$C$24,8-1),"")</f>
        <v>46512</v>
      </c>
      <c r="C12" s="17" t="n">
        <f aca="false">IF(8&lt;='3. Restructuring Workup'!$C$23,G11,"")</f>
        <v>10512.8983216911</v>
      </c>
      <c r="D12" s="17" t="n">
        <f aca="false">IF(8&lt;'3. Restructuring Workup'!$C$23,'3. Restructuring Workup'!$C$26-E12,IF(8='3. Restructuring Workup'!$C$23,C12,""))</f>
        <v>1002.83504164046</v>
      </c>
      <c r="E12" s="17" t="n">
        <f aca="false">IF(8&lt;='3. Restructuring Workup'!$C$23,C12*'3. Restructuring Workup'!$C$21/365*(B12-EDATE(B12,-1)),"")</f>
        <v>410.435071463284</v>
      </c>
      <c r="F12" s="17" t="n">
        <f aca="false">IF(8&lt;='3. Restructuring Workup'!$C$23,D12+E12,"")</f>
        <v>1413.27011310375</v>
      </c>
      <c r="G12" s="17" t="n">
        <f aca="false">IF(8&lt;='3. Restructuring Workup'!$C$23,C12-D12,"")</f>
        <v>9510.06328005068</v>
      </c>
    </row>
    <row r="13" customFormat="false" ht="15" hidden="false" customHeight="false" outlineLevel="0" collapsed="false">
      <c r="A13" s="15" t="n">
        <f aca="false">IF(9&lt;='3. Restructuring Workup'!$C$23,9,"")</f>
        <v>9</v>
      </c>
      <c r="B13" s="16" t="n">
        <f aca="false">IF(9&lt;='3. Restructuring Workup'!$C$23,EDATE('3. Restructuring Workup'!$C$24,9-1),"")</f>
        <v>46543</v>
      </c>
      <c r="C13" s="17" t="n">
        <f aca="false">IF(9&lt;='3. Restructuring Workup'!$C$23,G12,"")</f>
        <v>9510.06328005068</v>
      </c>
      <c r="D13" s="17" t="n">
        <f aca="false">IF(9&lt;'3. Restructuring Workup'!$C$23,'3. Restructuring Workup'!$C$26-E13,IF(9='3. Restructuring Workup'!$C$23,C13,""))</f>
        <v>1029.6107109154</v>
      </c>
      <c r="E13" s="17" t="n">
        <f aca="false">IF(9&lt;='3. Restructuring Workup'!$C$23,C13*'3. Restructuring Workup'!$C$21/365*(B13-EDATE(B13,-1)),"")</f>
        <v>383.659402188346</v>
      </c>
      <c r="F13" s="17" t="n">
        <f aca="false">IF(9&lt;='3. Restructuring Workup'!$C$23,D13+E13,"")</f>
        <v>1413.27011310375</v>
      </c>
      <c r="G13" s="17" t="n">
        <f aca="false">IF(9&lt;='3. Restructuring Workup'!$C$23,C13-D13,"")</f>
        <v>8480.45256913528</v>
      </c>
    </row>
    <row r="14" customFormat="false" ht="15" hidden="false" customHeight="false" outlineLevel="0" collapsed="false">
      <c r="A14" s="15" t="n">
        <f aca="false">IF(10&lt;='3. Restructuring Workup'!$C$23,10,"")</f>
        <v>10</v>
      </c>
      <c r="B14" s="16" t="n">
        <f aca="false">IF(10&lt;='3. Restructuring Workup'!$C$23,EDATE('3. Restructuring Workup'!$C$24,10-1),"")</f>
        <v>46573</v>
      </c>
      <c r="C14" s="17" t="n">
        <f aca="false">IF(10&lt;='3. Restructuring Workup'!$C$23,G13,"")</f>
        <v>8480.45256913528</v>
      </c>
      <c r="D14" s="17" t="n">
        <f aca="false">IF(10&lt;'3. Restructuring Workup'!$C$23,'3. Restructuring Workup'!$C$26-E14,IF(10='3. Restructuring Workup'!$C$23,C14,""))</f>
        <v>1082.18395115805</v>
      </c>
      <c r="E14" s="17" t="n">
        <f aca="false">IF(10&lt;='3. Restructuring Workup'!$C$23,C14*'3. Restructuring Workup'!$C$21/365*(B14-EDATE(B14,-1)),"")</f>
        <v>331.086161945692</v>
      </c>
      <c r="F14" s="17" t="n">
        <f aca="false">IF(10&lt;='3. Restructuring Workup'!$C$23,D14+E14,"")</f>
        <v>1413.27011310375</v>
      </c>
      <c r="G14" s="17" t="n">
        <f aca="false">IF(10&lt;='3. Restructuring Workup'!$C$23,C14-D14,"")</f>
        <v>7398.26861797722</v>
      </c>
    </row>
    <row r="15" customFormat="false" ht="15" hidden="false" customHeight="false" outlineLevel="0" collapsed="false">
      <c r="A15" s="15" t="n">
        <f aca="false">IF(11&lt;='3. Restructuring Workup'!$C$23,11,"")</f>
        <v>11</v>
      </c>
      <c r="B15" s="16" t="n">
        <f aca="false">IF(11&lt;='3. Restructuring Workup'!$C$23,EDATE('3. Restructuring Workup'!$C$24,11-1),"")</f>
        <v>46604</v>
      </c>
      <c r="C15" s="17" t="n">
        <f aca="false">IF(11&lt;='3. Restructuring Workup'!$C$23,G14,"")</f>
        <v>7398.26861797722</v>
      </c>
      <c r="D15" s="17" t="n">
        <f aca="false">IF(11&lt;'3. Restructuring Workup'!$C$23,'3. Restructuring Workup'!$C$26-E15,IF(11='3. Restructuring Workup'!$C$23,C15,""))</f>
        <v>1114.80571474836</v>
      </c>
      <c r="E15" s="17" t="n">
        <f aca="false">IF(11&lt;='3. Restructuring Workup'!$C$23,C15*'3. Restructuring Workup'!$C$21/365*(B15-EDATE(B15,-1)),"")</f>
        <v>298.464398355383</v>
      </c>
      <c r="F15" s="17" t="n">
        <f aca="false">IF(11&lt;='3. Restructuring Workup'!$C$23,D15+E15,"")</f>
        <v>1413.27011310375</v>
      </c>
      <c r="G15" s="17" t="n">
        <f aca="false">IF(11&lt;='3. Restructuring Workup'!$C$23,C15-D15,"")</f>
        <v>6283.46290322886</v>
      </c>
    </row>
    <row r="16" customFormat="false" ht="15" hidden="false" customHeight="false" outlineLevel="0" collapsed="false">
      <c r="A16" s="15" t="n">
        <f aca="false">IF(12&lt;='3. Restructuring Workup'!$C$23,12,"")</f>
        <v>12</v>
      </c>
      <c r="B16" s="16" t="n">
        <f aca="false">IF(12&lt;='3. Restructuring Workup'!$C$23,EDATE('3. Restructuring Workup'!$C$24,12-1),"")</f>
        <v>46635</v>
      </c>
      <c r="C16" s="17" t="n">
        <f aca="false">IF(12&lt;='3. Restructuring Workup'!$C$23,G15,"")</f>
        <v>6283.46290322886</v>
      </c>
      <c r="D16" s="17" t="n">
        <f aca="false">IF(12&lt;'3. Restructuring Workup'!$C$23,'3. Restructuring Workup'!$C$26-E16,IF(12='3. Restructuring Workup'!$C$23,C16,""))</f>
        <v>1159.77972611732</v>
      </c>
      <c r="E16" s="17" t="n">
        <f aca="false">IF(12&lt;='3. Restructuring Workup'!$C$23,C16*'3. Restructuring Workup'!$C$21/365*(B16-EDATE(B16,-1)),"")</f>
        <v>253.490386986425</v>
      </c>
      <c r="F16" s="17" t="n">
        <f aca="false">IF(12&lt;='3. Restructuring Workup'!$C$23,D16+E16,"")</f>
        <v>1413.27011310375</v>
      </c>
      <c r="G16" s="17" t="n">
        <f aca="false">IF(12&lt;='3. Restructuring Workup'!$C$23,C16-D16,"")</f>
        <v>5123.68317711154</v>
      </c>
    </row>
    <row r="17" customFormat="false" ht="15" hidden="false" customHeight="false" outlineLevel="0" collapsed="false">
      <c r="A17" s="15" t="n">
        <f aca="false">IF(13&lt;='3. Restructuring Workup'!$C$23,13,"")</f>
        <v>13</v>
      </c>
      <c r="B17" s="16" t="n">
        <f aca="false">IF(13&lt;='3. Restructuring Workup'!$C$23,EDATE('3. Restructuring Workup'!$C$24,13-1),"")</f>
        <v>46665</v>
      </c>
      <c r="C17" s="17" t="n">
        <f aca="false">IF(13&lt;='3. Restructuring Workup'!$C$23,G16,"")</f>
        <v>5123.68317711154</v>
      </c>
      <c r="D17" s="17" t="n">
        <f aca="false">IF(13&lt;'3. Restructuring Workup'!$C$23,'3. Restructuring Workup'!$C$26-E17,IF(13='3. Restructuring Workup'!$C$23,C17,""))</f>
        <v>1213.23590687405</v>
      </c>
      <c r="E17" s="17" t="n">
        <f aca="false">IF(13&lt;='3. Restructuring Workup'!$C$23,C17*'3. Restructuring Workup'!$C$21/365*(B17-EDATE(B17,-1)),"")</f>
        <v>200.034206229697</v>
      </c>
      <c r="F17" s="17" t="n">
        <f aca="false">IF(13&lt;='3. Restructuring Workup'!$C$23,D17+E17,"")</f>
        <v>1413.27011310375</v>
      </c>
      <c r="G17" s="17" t="n">
        <f aca="false">IF(13&lt;='3. Restructuring Workup'!$C$23,C17-D17,"")</f>
        <v>3910.44727023749</v>
      </c>
    </row>
    <row r="18" customFormat="false" ht="15" hidden="false" customHeight="false" outlineLevel="0" collapsed="false">
      <c r="A18" s="15" t="n">
        <f aca="false">IF(14&lt;='3. Restructuring Workup'!$C$23,14,"")</f>
        <v>14</v>
      </c>
      <c r="B18" s="16" t="n">
        <f aca="false">IF(14&lt;='3. Restructuring Workup'!$C$23,EDATE('3. Restructuring Workup'!$C$24,14-1),"")</f>
        <v>46696</v>
      </c>
      <c r="C18" s="17" t="n">
        <f aca="false">IF(14&lt;='3. Restructuring Workup'!$C$23,G17,"")</f>
        <v>3910.44727023749</v>
      </c>
      <c r="D18" s="17" t="n">
        <f aca="false">IF(14&lt;'3. Restructuring Workup'!$C$23,'3. Restructuring Workup'!$C$26-E18,IF(14='3. Restructuring Workup'!$C$23,C18,""))</f>
        <v>1255.51302802362</v>
      </c>
      <c r="E18" s="17" t="n">
        <f aca="false">IF(14&lt;='3. Restructuring Workup'!$C$23,C18*'3. Restructuring Workup'!$C$21/365*(B18-EDATE(B18,-1)),"")</f>
        <v>157.757085080129</v>
      </c>
      <c r="F18" s="17" t="n">
        <f aca="false">IF(14&lt;='3. Restructuring Workup'!$C$23,D18+E18,"")</f>
        <v>1413.27011310375</v>
      </c>
      <c r="G18" s="17" t="n">
        <f aca="false">IF(14&lt;='3. Restructuring Workup'!$C$23,C18-D18,"")</f>
        <v>2654.93424221387</v>
      </c>
    </row>
    <row r="19" customFormat="false" ht="15" hidden="false" customHeight="false" outlineLevel="0" collapsed="false">
      <c r="A19" s="15" t="n">
        <f aca="false">IF(15&lt;='3. Restructuring Workup'!$C$23,15,"")</f>
        <v>15</v>
      </c>
      <c r="B19" s="16" t="n">
        <f aca="false">IF(15&lt;='3. Restructuring Workup'!$C$23,EDATE('3. Restructuring Workup'!$C$24,15-1),"")</f>
        <v>46726</v>
      </c>
      <c r="C19" s="17" t="n">
        <f aca="false">IF(15&lt;='3. Restructuring Workup'!$C$23,G18,"")</f>
        <v>2654.93424221387</v>
      </c>
      <c r="D19" s="17" t="n">
        <f aca="false">IF(15&lt;'3. Restructuring Workup'!$C$23,'3. Restructuring Workup'!$C$26-E19,IF(15='3. Restructuring Workup'!$C$23,C19,""))</f>
        <v>1309.61857077074</v>
      </c>
      <c r="E19" s="17" t="n">
        <f aca="false">IF(15&lt;='3. Restructuring Workup'!$C$23,C19*'3. Restructuring Workup'!$C$21/365*(B19-EDATE(B19,-1)),"")</f>
        <v>103.651542333007</v>
      </c>
      <c r="F19" s="17" t="n">
        <f aca="false">IF(15&lt;='3. Restructuring Workup'!$C$23,D19+E19,"")</f>
        <v>1413.27011310375</v>
      </c>
      <c r="G19" s="17" t="n">
        <f aca="false">IF(15&lt;='3. Restructuring Workup'!$C$23,C19-D19,"")</f>
        <v>1345.31567144313</v>
      </c>
    </row>
    <row r="20" customFormat="false" ht="15" hidden="false" customHeight="false" outlineLevel="0" collapsed="false">
      <c r="A20" s="15" t="n">
        <f aca="false">IF(16&lt;='3. Restructuring Workup'!$C$23,16,"")</f>
        <v>16</v>
      </c>
      <c r="B20" s="16" t="n">
        <f aca="false">IF(16&lt;='3. Restructuring Workup'!$C$23,EDATE('3. Restructuring Workup'!$C$24,16-1),"")</f>
        <v>46757</v>
      </c>
      <c r="C20" s="17" t="n">
        <f aca="false">IF(16&lt;='3. Restructuring Workup'!$C$23,G19,"")</f>
        <v>1345.31567144313</v>
      </c>
      <c r="D20" s="17" t="n">
        <f aca="false">IF(16&lt;'3. Restructuring Workup'!$C$23,'3. Restructuring Workup'!$C$26-E20,IF(16='3. Restructuring Workup'!$C$23,C20,""))</f>
        <v>1345.31567144313</v>
      </c>
      <c r="E20" s="17" t="n">
        <f aca="false">IF(16&lt;='3. Restructuring Workup'!$C$23,C20*'3. Restructuring Workup'!$C$21/365*(B20-EDATE(B20,-1)),"")</f>
        <v>54.2733514027399</v>
      </c>
      <c r="F20" s="17" t="n">
        <f aca="false">IF(16&lt;='3. Restructuring Workup'!$C$23,D20+E20,"")</f>
        <v>1399.58902284587</v>
      </c>
      <c r="G20" s="17" t="n">
        <f aca="false">IF(16&lt;='3. Restructuring Workup'!$C$23,C20-D20,"")</f>
        <v>0</v>
      </c>
    </row>
    <row r="21" customFormat="false" ht="15" hidden="false" customHeight="false" outlineLevel="0" collapsed="false">
      <c r="A21" s="15" t="str">
        <f aca="false">IF(17&lt;='3. Restructuring Workup'!$C$23,17,"")</f>
        <v/>
      </c>
      <c r="B21" s="16" t="str">
        <f aca="false">IF(17&lt;='3. Restructuring Workup'!$C$23,EDATE('3. Restructuring Workup'!$C$24,17-1),"")</f>
        <v/>
      </c>
      <c r="C21" s="17" t="str">
        <f aca="false">IF(17&lt;='3. Restructuring Workup'!$C$23,G20,"")</f>
        <v/>
      </c>
      <c r="D21" s="17" t="str">
        <f aca="false">IF(17&lt;'3. Restructuring Workup'!$C$23,'3. Restructuring Workup'!$C$26-E21,IF(17='3. Restructuring Workup'!$C$23,C21,""))</f>
        <v/>
      </c>
      <c r="E21" s="17" t="str">
        <f aca="false">IF(17&lt;='3. Restructuring Workup'!$C$23,C21*'3. Restructuring Workup'!$C$21/365*(B21-EDATE(B21,-1)),"")</f>
        <v/>
      </c>
      <c r="F21" s="17" t="str">
        <f aca="false">IF(17&lt;='3. Restructuring Workup'!$C$23,D21+E21,"")</f>
        <v/>
      </c>
      <c r="G21" s="17" t="str">
        <f aca="false">IF(17&lt;='3. Restructuring Workup'!$C$23,C21-D21,"")</f>
        <v/>
      </c>
    </row>
    <row r="22" customFormat="false" ht="15" hidden="false" customHeight="false" outlineLevel="0" collapsed="false">
      <c r="A22" s="15" t="str">
        <f aca="false">IF(18&lt;='3. Restructuring Workup'!$C$23,18,"")</f>
        <v/>
      </c>
      <c r="B22" s="16" t="str">
        <f aca="false">IF(18&lt;='3. Restructuring Workup'!$C$23,EDATE('3. Restructuring Workup'!$C$24,18-1),"")</f>
        <v/>
      </c>
      <c r="C22" s="17" t="str">
        <f aca="false">IF(18&lt;='3. Restructuring Workup'!$C$23,G21,"")</f>
        <v/>
      </c>
      <c r="D22" s="17" t="str">
        <f aca="false">IF(18&lt;'3. Restructuring Workup'!$C$23,'3. Restructuring Workup'!$C$26-E22,IF(18='3. Restructuring Workup'!$C$23,C22,""))</f>
        <v/>
      </c>
      <c r="E22" s="17" t="str">
        <f aca="false">IF(18&lt;='3. Restructuring Workup'!$C$23,C22*'3. Restructuring Workup'!$C$21/365*(B22-EDATE(B22,-1)),"")</f>
        <v/>
      </c>
      <c r="F22" s="17" t="str">
        <f aca="false">IF(18&lt;='3. Restructuring Workup'!$C$23,D22+E22,"")</f>
        <v/>
      </c>
      <c r="G22" s="17" t="str">
        <f aca="false">IF(18&lt;='3. Restructuring Workup'!$C$23,C22-D22,"")</f>
        <v/>
      </c>
    </row>
    <row r="23" customFormat="false" ht="15" hidden="false" customHeight="false" outlineLevel="0" collapsed="false">
      <c r="A23" s="15" t="str">
        <f aca="false">IF(19&lt;='3. Restructuring Workup'!$C$23,19,"")</f>
        <v/>
      </c>
      <c r="B23" s="16" t="str">
        <f aca="false">IF(19&lt;='3. Restructuring Workup'!$C$23,EDATE('3. Restructuring Workup'!$C$24,19-1),"")</f>
        <v/>
      </c>
      <c r="C23" s="17" t="str">
        <f aca="false">IF(19&lt;='3. Restructuring Workup'!$C$23,G22,"")</f>
        <v/>
      </c>
      <c r="D23" s="17" t="str">
        <f aca="false">IF(19&lt;'3. Restructuring Workup'!$C$23,'3. Restructuring Workup'!$C$26-E23,IF(19='3. Restructuring Workup'!$C$23,C23,""))</f>
        <v/>
      </c>
      <c r="E23" s="17" t="str">
        <f aca="false">IF(19&lt;='3. Restructuring Workup'!$C$23,C23*'3. Restructuring Workup'!$C$21/365*(B23-EDATE(B23,-1)),"")</f>
        <v/>
      </c>
      <c r="F23" s="17" t="str">
        <f aca="false">IF(19&lt;='3. Restructuring Workup'!$C$23,D23+E23,"")</f>
        <v/>
      </c>
      <c r="G23" s="17" t="str">
        <f aca="false">IF(19&lt;='3. Restructuring Workup'!$C$23,C23-D23,"")</f>
        <v/>
      </c>
    </row>
    <row r="24" customFormat="false" ht="15" hidden="false" customHeight="false" outlineLevel="0" collapsed="false">
      <c r="A24" s="15" t="str">
        <f aca="false">IF(20&lt;='3. Restructuring Workup'!$C$23,20,"")</f>
        <v/>
      </c>
      <c r="B24" s="16" t="str">
        <f aca="false">IF(20&lt;='3. Restructuring Workup'!$C$23,EDATE('3. Restructuring Workup'!$C$24,20-1),"")</f>
        <v/>
      </c>
      <c r="C24" s="17" t="str">
        <f aca="false">IF(20&lt;='3. Restructuring Workup'!$C$23,G23,"")</f>
        <v/>
      </c>
      <c r="D24" s="17" t="str">
        <f aca="false">IF(20&lt;'3. Restructuring Workup'!$C$23,'3. Restructuring Workup'!$C$26-E24,IF(20='3. Restructuring Workup'!$C$23,C24,""))</f>
        <v/>
      </c>
      <c r="E24" s="17" t="str">
        <f aca="false">IF(20&lt;='3. Restructuring Workup'!$C$23,C24*'3. Restructuring Workup'!$C$21/365*(B24-EDATE(B24,-1)),"")</f>
        <v/>
      </c>
      <c r="F24" s="17" t="str">
        <f aca="false">IF(20&lt;='3. Restructuring Workup'!$C$23,D24+E24,"")</f>
        <v/>
      </c>
      <c r="G24" s="17" t="str">
        <f aca="false">IF(20&lt;='3. Restructuring Workup'!$C$23,C24-D24,"")</f>
        <v/>
      </c>
    </row>
    <row r="25" customFormat="false" ht="15" hidden="false" customHeight="false" outlineLevel="0" collapsed="false">
      <c r="A25" s="15" t="str">
        <f aca="false">IF(21&lt;='3. Restructuring Workup'!$C$23,21,"")</f>
        <v/>
      </c>
      <c r="B25" s="16" t="str">
        <f aca="false">IF(21&lt;='3. Restructuring Workup'!$C$23,EDATE('3. Restructuring Workup'!$C$24,21-1),"")</f>
        <v/>
      </c>
      <c r="C25" s="17" t="str">
        <f aca="false">IF(21&lt;='3. Restructuring Workup'!$C$23,G24,"")</f>
        <v/>
      </c>
      <c r="D25" s="17" t="str">
        <f aca="false">IF(21&lt;'3. Restructuring Workup'!$C$23,'3. Restructuring Workup'!$C$26-E25,IF(21='3. Restructuring Workup'!$C$23,C25,""))</f>
        <v/>
      </c>
      <c r="E25" s="17" t="str">
        <f aca="false">IF(21&lt;='3. Restructuring Workup'!$C$23,C25*'3. Restructuring Workup'!$C$21/365*(B25-EDATE(B25,-1)),"")</f>
        <v/>
      </c>
      <c r="F25" s="17" t="str">
        <f aca="false">IF(21&lt;='3. Restructuring Workup'!$C$23,D25+E25,"")</f>
        <v/>
      </c>
      <c r="G25" s="17" t="str">
        <f aca="false">IF(21&lt;='3. Restructuring Workup'!$C$23,C25-D25,"")</f>
        <v/>
      </c>
    </row>
    <row r="26" customFormat="false" ht="15" hidden="false" customHeight="false" outlineLevel="0" collapsed="false">
      <c r="A26" s="15" t="str">
        <f aca="false">IF(22&lt;='3. Restructuring Workup'!$C$23,22,"")</f>
        <v/>
      </c>
      <c r="B26" s="16" t="str">
        <f aca="false">IF(22&lt;='3. Restructuring Workup'!$C$23,EDATE('3. Restructuring Workup'!$C$24,22-1),"")</f>
        <v/>
      </c>
      <c r="C26" s="17" t="str">
        <f aca="false">IF(22&lt;='3. Restructuring Workup'!$C$23,G25,"")</f>
        <v/>
      </c>
      <c r="D26" s="17" t="str">
        <f aca="false">IF(22&lt;'3. Restructuring Workup'!$C$23,'3. Restructuring Workup'!$C$26-E26,IF(22='3. Restructuring Workup'!$C$23,C26,""))</f>
        <v/>
      </c>
      <c r="E26" s="17" t="str">
        <f aca="false">IF(22&lt;='3. Restructuring Workup'!$C$23,C26*'3. Restructuring Workup'!$C$21/365*(B26-EDATE(B26,-1)),"")</f>
        <v/>
      </c>
      <c r="F26" s="17" t="str">
        <f aca="false">IF(22&lt;='3. Restructuring Workup'!$C$23,D26+E26,"")</f>
        <v/>
      </c>
      <c r="G26" s="17" t="str">
        <f aca="false">IF(22&lt;='3. Restructuring Workup'!$C$23,C26-D26,"")</f>
        <v/>
      </c>
    </row>
    <row r="27" customFormat="false" ht="15" hidden="false" customHeight="false" outlineLevel="0" collapsed="false">
      <c r="A27" s="15" t="str">
        <f aca="false">IF(23&lt;='3. Restructuring Workup'!$C$23,23,"")</f>
        <v/>
      </c>
      <c r="B27" s="16" t="str">
        <f aca="false">IF(23&lt;='3. Restructuring Workup'!$C$23,EDATE('3. Restructuring Workup'!$C$24,23-1),"")</f>
        <v/>
      </c>
      <c r="C27" s="17" t="str">
        <f aca="false">IF(23&lt;='3. Restructuring Workup'!$C$23,G26,"")</f>
        <v/>
      </c>
      <c r="D27" s="17" t="str">
        <f aca="false">IF(23&lt;'3. Restructuring Workup'!$C$23,'3. Restructuring Workup'!$C$26-E27,IF(23='3. Restructuring Workup'!$C$23,C27,""))</f>
        <v/>
      </c>
      <c r="E27" s="17" t="str">
        <f aca="false">IF(23&lt;='3. Restructuring Workup'!$C$23,C27*'3. Restructuring Workup'!$C$21/365*(B27-EDATE(B27,-1)),"")</f>
        <v/>
      </c>
      <c r="F27" s="17" t="str">
        <f aca="false">IF(23&lt;='3. Restructuring Workup'!$C$23,D27+E27,"")</f>
        <v/>
      </c>
      <c r="G27" s="17" t="str">
        <f aca="false">IF(23&lt;='3. Restructuring Workup'!$C$23,C27-D27,"")</f>
        <v/>
      </c>
    </row>
    <row r="28" customFormat="false" ht="15" hidden="false" customHeight="false" outlineLevel="0" collapsed="false">
      <c r="A28" s="15" t="str">
        <f aca="false">IF(24&lt;='3. Restructuring Workup'!$C$23,24,"")</f>
        <v/>
      </c>
      <c r="B28" s="16" t="str">
        <f aca="false">IF(24&lt;='3. Restructuring Workup'!$C$23,EDATE('3. Restructuring Workup'!$C$24,24-1),"")</f>
        <v/>
      </c>
      <c r="C28" s="17" t="str">
        <f aca="false">IF(24&lt;='3. Restructuring Workup'!$C$23,G27,"")</f>
        <v/>
      </c>
      <c r="D28" s="17" t="str">
        <f aca="false">IF(24&lt;'3. Restructuring Workup'!$C$23,'3. Restructuring Workup'!$C$26-E28,IF(24='3. Restructuring Workup'!$C$23,C28,""))</f>
        <v/>
      </c>
      <c r="E28" s="17" t="str">
        <f aca="false">IF(24&lt;='3. Restructuring Workup'!$C$23,C28*'3. Restructuring Workup'!$C$21/365*(B28-EDATE(B28,-1)),"")</f>
        <v/>
      </c>
      <c r="F28" s="17" t="str">
        <f aca="false">IF(24&lt;='3. Restructuring Workup'!$C$23,D28+E28,"")</f>
        <v/>
      </c>
      <c r="G28" s="17" t="str">
        <f aca="false">IF(24&lt;='3. Restructuring Workup'!$C$23,C28-D28,"")</f>
        <v/>
      </c>
    </row>
    <row r="29" customFormat="false" ht="15" hidden="false" customHeight="false" outlineLevel="0" collapsed="false">
      <c r="A29" s="18"/>
      <c r="B29" s="19" t="s">
        <v>54</v>
      </c>
      <c r="C29" s="18"/>
      <c r="D29" s="20" t="n">
        <f aca="false">SUM(D5:D28)</f>
        <v>16518.5743160279</v>
      </c>
      <c r="E29" s="20" t="n">
        <f aca="false">SUM(E5:E28)</f>
        <v>6080.06640337421</v>
      </c>
      <c r="F29" s="20" t="n">
        <f aca="false">SUM(F5:F28)</f>
        <v>22598.6407194021</v>
      </c>
      <c r="G29" s="1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5AFF"/>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22"/>
    <col collapsed="false" customWidth="true" hidden="false" outlineLevel="0" max="5" min="5" style="0" width="3"/>
  </cols>
  <sheetData>
    <row r="1" customFormat="false" ht="24" hidden="false" customHeight="true" outlineLevel="0" collapsed="false">
      <c r="A1" s="1" t="s">
        <v>91</v>
      </c>
      <c r="B1" s="1"/>
      <c r="C1" s="1"/>
      <c r="D1" s="1"/>
    </row>
    <row r="2" customFormat="false" ht="15" hidden="false" customHeight="true" outlineLevel="0" collapsed="false">
      <c r="B2" s="5" t="s">
        <v>92</v>
      </c>
      <c r="C2" s="5"/>
      <c r="D2" s="5"/>
    </row>
    <row r="4" customFormat="false" ht="15" hidden="false" customHeight="false" outlineLevel="0" collapsed="false">
      <c r="B4" s="24"/>
      <c r="C4" s="24" t="s">
        <v>93</v>
      </c>
      <c r="D4" s="24" t="s">
        <v>94</v>
      </c>
    </row>
    <row r="5" customFormat="false" ht="15" hidden="false" customHeight="false" outlineLevel="0" collapsed="false">
      <c r="B5" s="25" t="s">
        <v>95</v>
      </c>
      <c r="C5" s="26" t="str">
        <f aca="false">'1. Original Loan Setup'!C5</f>
        <v>e.g. LN-000001</v>
      </c>
      <c r="D5" s="27" t="s">
        <v>96</v>
      </c>
    </row>
    <row r="6" customFormat="false" ht="15" hidden="false" customHeight="false" outlineLevel="0" collapsed="false">
      <c r="B6" s="25" t="s">
        <v>97</v>
      </c>
      <c r="C6" s="28" t="n">
        <f aca="false">'1. Original Loan Setup'!C8</f>
        <v>20000</v>
      </c>
      <c r="D6" s="28" t="n">
        <f aca="false">'3. Restructuring Workup'!C20</f>
        <v>16518.5743160279</v>
      </c>
    </row>
    <row r="7" customFormat="false" ht="15" hidden="false" customHeight="false" outlineLevel="0" collapsed="false">
      <c r="B7" s="25" t="s">
        <v>30</v>
      </c>
      <c r="C7" s="29" t="n">
        <f aca="false">'1. Original Loan Setup'!C9</f>
        <v>45991</v>
      </c>
      <c r="D7" s="29" t="n">
        <f aca="false">'3. Restructuring Workup'!C25</f>
        <v>46252</v>
      </c>
    </row>
    <row r="8" customFormat="false" ht="15" hidden="false" customHeight="false" outlineLevel="0" collapsed="false">
      <c r="B8" s="25" t="s">
        <v>98</v>
      </c>
      <c r="C8" s="30" t="n">
        <f aca="false">'1. Original Loan Setup'!C10</f>
        <v>0.95</v>
      </c>
      <c r="D8" s="30" t="n">
        <f aca="false">'3. Restructuring Workup'!C21</f>
        <v>0.475</v>
      </c>
    </row>
    <row r="9" customFormat="false" ht="15" hidden="false" customHeight="false" outlineLevel="0" collapsed="false">
      <c r="B9" s="25" t="s">
        <v>33</v>
      </c>
      <c r="C9" s="31" t="n">
        <f aca="false">'1. Original Loan Setup'!C12</f>
        <v>12</v>
      </c>
      <c r="D9" s="31" t="n">
        <f aca="false">'3. Restructuring Workup'!C23</f>
        <v>16</v>
      </c>
    </row>
    <row r="10" customFormat="false" ht="15" hidden="false" customHeight="false" outlineLevel="0" collapsed="false">
      <c r="B10" s="25" t="s">
        <v>99</v>
      </c>
      <c r="C10" s="29" t="n">
        <f aca="false">'1. Original Loan Setup'!C13</f>
        <v>46024</v>
      </c>
      <c r="D10" s="29" t="n">
        <f aca="false">'3. Restructuring Workup'!C24</f>
        <v>46300</v>
      </c>
    </row>
    <row r="11" customFormat="false" ht="15" hidden="false" customHeight="false" outlineLevel="0" collapsed="false">
      <c r="B11" s="25" t="s">
        <v>43</v>
      </c>
      <c r="C11" s="29" t="n">
        <f aca="false">'1. Original Loan Setup'!C23</f>
        <v>46358</v>
      </c>
      <c r="D11" s="29" t="n">
        <f aca="false">'3. Restructuring Workup'!C27</f>
        <v>46757</v>
      </c>
    </row>
    <row r="12" customFormat="false" ht="15" hidden="false" customHeight="false" outlineLevel="0" collapsed="false">
      <c r="B12" s="25" t="s">
        <v>100</v>
      </c>
      <c r="C12" s="28" t="n">
        <f aca="false">'1. Original Loan Setup'!C22</f>
        <v>2642.45288016788</v>
      </c>
      <c r="D12" s="28" t="n">
        <f aca="false">'3. Restructuring Workup'!C26</f>
        <v>1413.27011310375</v>
      </c>
    </row>
    <row r="14" customFormat="false" ht="15" hidden="false" customHeight="false" outlineLevel="0" collapsed="false">
      <c r="B14" s="6" t="s">
        <v>101</v>
      </c>
      <c r="C14" s="6"/>
      <c r="D14" s="6"/>
    </row>
    <row r="15" customFormat="false" ht="15" hidden="false" customHeight="false" outlineLevel="0" collapsed="false">
      <c r="B15" s="25" t="s">
        <v>102</v>
      </c>
      <c r="C15" s="32" t="n">
        <f aca="false">'3. Restructuring Workup'!C5</f>
        <v>46083</v>
      </c>
      <c r="D15" s="32"/>
    </row>
    <row r="16" customFormat="false" ht="15" hidden="false" customHeight="false" outlineLevel="0" collapsed="false">
      <c r="B16" s="25" t="s">
        <v>60</v>
      </c>
      <c r="C16" s="32" t="n">
        <f aca="false">'3. Restructuring Workup'!C6</f>
        <v>46252</v>
      </c>
      <c r="D16" s="32"/>
    </row>
    <row r="17" customFormat="false" ht="15" hidden="false" customHeight="false" outlineLevel="0" collapsed="false">
      <c r="B17" s="25" t="s">
        <v>103</v>
      </c>
      <c r="C17" s="33" t="n">
        <f aca="false">'3. Restructuring Workup'!C7</f>
        <v>138</v>
      </c>
      <c r="D17" s="33"/>
    </row>
    <row r="18" customFormat="false" ht="15" hidden="false" customHeight="false" outlineLevel="0" collapsed="false">
      <c r="B18" s="25" t="s">
        <v>104</v>
      </c>
      <c r="C18" s="34" t="n">
        <f aca="false">'3. Restructuring Workup'!C10</f>
        <v>16518.5743160279</v>
      </c>
      <c r="D18" s="34"/>
    </row>
    <row r="19" customFormat="false" ht="15" hidden="false" customHeight="false" outlineLevel="0" collapsed="false">
      <c r="B19" s="25" t="s">
        <v>105</v>
      </c>
      <c r="C19" s="34" t="n">
        <f aca="false">'3. Restructuring Workup'!C11</f>
        <v>5933.1098433733</v>
      </c>
      <c r="D19" s="34"/>
    </row>
    <row r="20" customFormat="false" ht="15" hidden="false" customHeight="false" outlineLevel="0" collapsed="false">
      <c r="B20" s="25" t="s">
        <v>106</v>
      </c>
      <c r="C20" s="34" t="n">
        <f aca="false">'3. Restructuring Workup'!C12</f>
        <v>2500</v>
      </c>
      <c r="D20" s="34"/>
    </row>
    <row r="21" customFormat="false" ht="15" hidden="false" customHeight="false" outlineLevel="0" collapsed="false">
      <c r="B21" s="25" t="s">
        <v>69</v>
      </c>
      <c r="C21" s="34" t="n">
        <f aca="false">'3. Restructuring Workup'!C13</f>
        <v>24951.6841594012</v>
      </c>
      <c r="D21" s="34"/>
    </row>
    <row r="22" customFormat="false" ht="15" hidden="false" customHeight="false" outlineLevel="0" collapsed="false">
      <c r="B22" s="25" t="s">
        <v>107</v>
      </c>
      <c r="C22" s="34" t="n">
        <f aca="false">'3. Restructuring Workup'!C29</f>
        <v>8433.1098433733</v>
      </c>
      <c r="D22" s="34"/>
    </row>
    <row r="23" customFormat="false" ht="15" hidden="false" customHeight="false" outlineLevel="0" collapsed="false">
      <c r="B23" s="25" t="s">
        <v>78</v>
      </c>
      <c r="C23" s="34" t="n">
        <f aca="false">'3. Restructuring Workup'!C20</f>
        <v>16518.5743160279</v>
      </c>
      <c r="D23" s="34"/>
    </row>
  </sheetData>
  <mergeCells count="12">
    <mergeCell ref="A1:D1"/>
    <mergeCell ref="B2:D2"/>
    <mergeCell ref="B14:D14"/>
    <mergeCell ref="C15:D15"/>
    <mergeCell ref="C16:D16"/>
    <mergeCell ref="C17:D17"/>
    <mergeCell ref="C18:D18"/>
    <mergeCell ref="C19:D19"/>
    <mergeCell ref="C20:D20"/>
    <mergeCell ref="C21:D21"/>
    <mergeCell ref="C22:D22"/>
    <mergeCell ref="C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2026-08-21T12:01:17Z</dcterms:created>
  <dc:creator>openpyxl</dc:creator>
  <dc:description/>
  <dc:language>en-US</dc:language>
  <cp:lastModifiedBy/>
  <dcterms:modified xsi:type="dcterms:W3CDTF">2026-08-21T12:01:17Z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